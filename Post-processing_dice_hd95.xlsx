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87346ca326bf1787/Documenten/2024 - 2026 MI/MI 2/P1/AI4MI/"/>
    </mc:Choice>
  </mc:AlternateContent>
  <xr:revisionPtr revIDLastSave="186" documentId="8_{0EB65147-6AB0-4493-B72B-0270B51887D1}" xr6:coauthVersionLast="47" xr6:coauthVersionMax="47" xr10:uidLastSave="{7DAA0205-65A6-40B9-B256-6CA923D10984}"/>
  <bookViews>
    <workbookView xWindow="-110" yWindow="-110" windowWidth="19420" windowHeight="10300" activeTab="1" xr2:uid="{E6BB5CC5-1DCC-4A68-BF47-977B255E86AC}"/>
  </bookViews>
  <sheets>
    <sheet name="Results" sheetId="1" r:id="rId1"/>
    <sheet name="Comparison" sheetId="3" r:id="rId2"/>
    <sheet name="Combinations post-processin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3" l="1"/>
  <c r="D18" i="3"/>
  <c r="E18" i="3"/>
  <c r="C18" i="3"/>
  <c r="F11" i="3"/>
  <c r="F12" i="3"/>
  <c r="F13" i="3"/>
  <c r="F14" i="3"/>
  <c r="F15" i="3"/>
  <c r="F16" i="3"/>
  <c r="F3" i="3"/>
  <c r="F4" i="3"/>
  <c r="F5" i="3"/>
  <c r="F6" i="3"/>
  <c r="F7" i="3"/>
  <c r="F2" i="3"/>
  <c r="F58" i="1"/>
  <c r="E58" i="1"/>
  <c r="D58" i="1"/>
  <c r="C58" i="1"/>
  <c r="F57" i="1"/>
  <c r="E57" i="1"/>
  <c r="D57" i="1"/>
  <c r="C57" i="1"/>
  <c r="F109" i="1"/>
  <c r="E109" i="1"/>
  <c r="D109" i="1"/>
  <c r="C109" i="1"/>
  <c r="F101" i="1"/>
  <c r="E101" i="1"/>
  <c r="D101" i="1"/>
  <c r="C101" i="1"/>
  <c r="F93" i="1"/>
  <c r="E93" i="1"/>
  <c r="D93" i="1"/>
  <c r="C93" i="1"/>
  <c r="F85" i="1"/>
  <c r="E85" i="1"/>
  <c r="D85" i="1"/>
  <c r="C85" i="1"/>
  <c r="F77" i="1"/>
  <c r="E77" i="1"/>
  <c r="D77" i="1"/>
  <c r="C77" i="1"/>
  <c r="F69" i="1"/>
  <c r="E69" i="1"/>
  <c r="D69" i="1"/>
  <c r="C69" i="1"/>
  <c r="F50" i="1"/>
  <c r="E50" i="1"/>
  <c r="D50" i="1"/>
  <c r="C50" i="1"/>
  <c r="F42" i="1"/>
  <c r="E42" i="1"/>
  <c r="D42" i="1"/>
  <c r="C42" i="1"/>
  <c r="F34" i="1"/>
  <c r="E34" i="1"/>
  <c r="D34" i="1"/>
  <c r="C34" i="1"/>
  <c r="F26" i="1"/>
  <c r="E26" i="1"/>
  <c r="D26" i="1"/>
  <c r="C26" i="1"/>
  <c r="F18" i="1"/>
  <c r="E18" i="1"/>
  <c r="D18" i="1"/>
  <c r="C18" i="1"/>
  <c r="D10" i="1"/>
  <c r="E10" i="1"/>
  <c r="F10" i="1"/>
  <c r="C10" i="1"/>
  <c r="H63" i="1" l="1"/>
  <c r="F108" i="1" l="1"/>
  <c r="E108" i="1"/>
  <c r="D108" i="1"/>
  <c r="C108" i="1"/>
  <c r="H107" i="1"/>
  <c r="H106" i="1"/>
  <c r="H105" i="1"/>
  <c r="H104" i="1"/>
  <c r="H103" i="1"/>
  <c r="F100" i="1"/>
  <c r="E100" i="1"/>
  <c r="D100" i="1"/>
  <c r="C100" i="1"/>
  <c r="H99" i="1"/>
  <c r="H98" i="1"/>
  <c r="H97" i="1"/>
  <c r="H96" i="1"/>
  <c r="H95" i="1"/>
  <c r="F92" i="1"/>
  <c r="E92" i="1"/>
  <c r="D92" i="1"/>
  <c r="C92" i="1"/>
  <c r="H91" i="1"/>
  <c r="H90" i="1"/>
  <c r="H89" i="1"/>
  <c r="H88" i="1"/>
  <c r="H87" i="1"/>
  <c r="F84" i="1"/>
  <c r="E84" i="1"/>
  <c r="D84" i="1"/>
  <c r="C84" i="1"/>
  <c r="H83" i="1"/>
  <c r="H82" i="1"/>
  <c r="H81" i="1"/>
  <c r="H80" i="1"/>
  <c r="H79" i="1"/>
  <c r="F76" i="1"/>
  <c r="E76" i="1"/>
  <c r="D76" i="1"/>
  <c r="C76" i="1"/>
  <c r="H75" i="1"/>
  <c r="H74" i="1"/>
  <c r="H73" i="1"/>
  <c r="H72" i="1"/>
  <c r="H71" i="1"/>
  <c r="F68" i="1"/>
  <c r="E68" i="1"/>
  <c r="D68" i="1"/>
  <c r="C68" i="1"/>
  <c r="H67" i="1"/>
  <c r="H66" i="1"/>
  <c r="H65" i="1"/>
  <c r="J64" i="1"/>
  <c r="H64" i="1"/>
  <c r="J5" i="1"/>
  <c r="F49" i="1"/>
  <c r="E49" i="1"/>
  <c r="D49" i="1"/>
  <c r="C49" i="1"/>
  <c r="H48" i="1"/>
  <c r="H47" i="1"/>
  <c r="H46" i="1"/>
  <c r="H45" i="1"/>
  <c r="H44" i="1"/>
  <c r="F41" i="1"/>
  <c r="E41" i="1"/>
  <c r="D41" i="1"/>
  <c r="C41" i="1"/>
  <c r="H40" i="1"/>
  <c r="H39" i="1"/>
  <c r="H38" i="1"/>
  <c r="H37" i="1"/>
  <c r="H36" i="1"/>
  <c r="F33" i="1"/>
  <c r="E33" i="1"/>
  <c r="D33" i="1"/>
  <c r="C33" i="1"/>
  <c r="H32" i="1"/>
  <c r="H31" i="1"/>
  <c r="H30" i="1"/>
  <c r="H29" i="1"/>
  <c r="H28" i="1"/>
  <c r="F25" i="1"/>
  <c r="E25" i="1"/>
  <c r="D25" i="1"/>
  <c r="C25" i="1"/>
  <c r="H24" i="1"/>
  <c r="H23" i="1"/>
  <c r="H22" i="1"/>
  <c r="H21" i="1"/>
  <c r="H20" i="1"/>
  <c r="F17" i="1"/>
  <c r="E17" i="1"/>
  <c r="D17" i="1"/>
  <c r="C17" i="1"/>
  <c r="D9" i="1"/>
  <c r="E9" i="1"/>
  <c r="F9" i="1"/>
  <c r="C9" i="1"/>
  <c r="H5" i="1"/>
  <c r="H6" i="1"/>
  <c r="H7" i="1"/>
  <c r="H8" i="1"/>
  <c r="H12" i="1"/>
  <c r="H13" i="1"/>
  <c r="H14" i="1"/>
  <c r="H15" i="1"/>
  <c r="H16" i="1"/>
  <c r="H4" i="1"/>
  <c r="J30" i="1" l="1"/>
  <c r="J22" i="1"/>
  <c r="J14" i="1"/>
  <c r="J46" i="1"/>
  <c r="J97" i="1"/>
  <c r="J89" i="1"/>
  <c r="J81" i="1"/>
  <c r="J73" i="1"/>
  <c r="J38" i="1"/>
  <c r="J105" i="1"/>
</calcChain>
</file>

<file path=xl/sharedStrings.xml><?xml version="1.0" encoding="utf-8"?>
<sst xmlns="http://schemas.openxmlformats.org/spreadsheetml/2006/main" count="154" uniqueCount="36">
  <si>
    <t>Fold 1</t>
  </si>
  <si>
    <t>Dice</t>
  </si>
  <si>
    <t>largest_vol</t>
  </si>
  <si>
    <t>smooth</t>
  </si>
  <si>
    <t>fill_holes</t>
  </si>
  <si>
    <t>Fold 2</t>
  </si>
  <si>
    <t>Fold 3</t>
  </si>
  <si>
    <t>Fold 4</t>
  </si>
  <si>
    <t>Fold 5</t>
  </si>
  <si>
    <t>Baseline</t>
  </si>
  <si>
    <t>Mean</t>
  </si>
  <si>
    <t>Combination 1</t>
  </si>
  <si>
    <t>Heart</t>
  </si>
  <si>
    <t>Aorta</t>
  </si>
  <si>
    <t>Trachea</t>
  </si>
  <si>
    <t>Esophagus</t>
  </si>
  <si>
    <t>Combination 2</t>
  </si>
  <si>
    <t>Combination 3</t>
  </si>
  <si>
    <t>trachea</t>
  </si>
  <si>
    <t>Combination 4</t>
  </si>
  <si>
    <t>Combination 5</t>
  </si>
  <si>
    <t>Total mean</t>
  </si>
  <si>
    <t>HD95</t>
  </si>
  <si>
    <t>DICE</t>
  </si>
  <si>
    <t>Std</t>
  </si>
  <si>
    <t>Std.</t>
  </si>
  <si>
    <t>Combination 6</t>
  </si>
  <si>
    <t xml:space="preserve">Class </t>
  </si>
  <si>
    <t>esophagus, heart</t>
  </si>
  <si>
    <t>esophagus, heart, trachea</t>
  </si>
  <si>
    <t>heart</t>
  </si>
  <si>
    <t>esophagus, heart, trachea (3)</t>
  </si>
  <si>
    <t>heart, trachea, heart (2)</t>
  </si>
  <si>
    <t>esophagus, heart, trachea, aorta (2)</t>
  </si>
  <si>
    <t>heart, trachea, aorta (2)</t>
  </si>
  <si>
    <t xml:space="preserve">heart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</si>
</sst>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6" formatCode="0.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0" applyFont="1"/>
    <xf numFmtId="0" fontId="1" fillId="0" borderId="1" xfId="0" applyFont="1" applyBorder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0" xfId="0" applyFill="1"/>
    <xf numFmtId="0" fontId="1" fillId="5" borderId="0" xfId="0" applyFont="1" applyFill="1"/>
    <xf numFmtId="49" fontId="0" fillId="5" borderId="0" xfId="0" applyNumberFormat="1" applyFill="1"/>
    <xf numFmtId="164" fontId="0" fillId="2" borderId="0" xfId="0" applyNumberFormat="1" applyFill="1"/>
    <xf numFmtId="164" fontId="0" fillId="0" borderId="0" xfId="0" applyNumberFormat="1"/>
    <xf numFmtId="0" fontId="0" fillId="3" borderId="0" xfId="0" applyFill="1"/>
    <xf numFmtId="0" fontId="0" fillId="6" borderId="0" xfId="0" applyFill="1"/>
    <xf numFmtId="0" fontId="0" fillId="7" borderId="0" xfId="0" applyFill="1"/>
    <xf numFmtId="166" fontId="0" fillId="0" borderId="0" xfId="0" applyNumberFormat="1"/>
    <xf numFmtId="166" fontId="0" fillId="6" borderId="0" xfId="0" applyNumberFormat="1" applyFill="1"/>
    <xf numFmtId="166" fontId="0" fillId="7" borderId="0" xfId="0" applyNumberFormat="1" applyFill="1"/>
    <xf numFmtId="166" fontId="0" fillId="3" borderId="0" xfId="0" applyNumberFormat="1" applyFill="1"/>
    <xf numFmtId="0" fontId="1" fillId="2" borderId="0" xfId="0" applyFont="1" applyFill="1"/>
    <xf numFmtId="0" fontId="1" fillId="0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A735F-A334-4D4D-9DF5-3228CE495126}">
  <dimension ref="A1:J109"/>
  <sheetViews>
    <sheetView workbookViewId="0">
      <selection activeCell="M1" sqref="M1:M1048576"/>
    </sheetView>
  </sheetViews>
  <sheetFormatPr defaultRowHeight="14.5" x14ac:dyDescent="0.35"/>
  <cols>
    <col min="1" max="1" width="14.453125" customWidth="1"/>
    <col min="2" max="2" width="11.90625" style="2" customWidth="1"/>
    <col min="3" max="3" width="12.54296875" customWidth="1"/>
    <col min="4" max="4" width="13.81640625" customWidth="1"/>
    <col min="5" max="5" width="14.08984375" customWidth="1"/>
    <col min="6" max="6" width="15" customWidth="1"/>
  </cols>
  <sheetData>
    <row r="1" spans="1:10" x14ac:dyDescent="0.35">
      <c r="A1" s="1" t="s">
        <v>1</v>
      </c>
      <c r="C1" s="1" t="s">
        <v>15</v>
      </c>
      <c r="D1" s="1" t="s">
        <v>12</v>
      </c>
      <c r="E1" s="1" t="s">
        <v>14</v>
      </c>
      <c r="F1" s="1" t="s">
        <v>13</v>
      </c>
      <c r="H1" s="1" t="s">
        <v>10</v>
      </c>
      <c r="J1" s="1" t="s">
        <v>21</v>
      </c>
    </row>
    <row r="2" spans="1:10" x14ac:dyDescent="0.35">
      <c r="A2" s="1" t="s">
        <v>27</v>
      </c>
      <c r="B2" s="21">
        <v>0</v>
      </c>
      <c r="C2" s="3">
        <v>1</v>
      </c>
      <c r="D2" s="3">
        <v>2</v>
      </c>
      <c r="E2" s="22">
        <v>3</v>
      </c>
      <c r="F2" s="3">
        <v>4</v>
      </c>
      <c r="H2" s="1"/>
    </row>
    <row r="3" spans="1:10" x14ac:dyDescent="0.35">
      <c r="A3" s="9" t="s">
        <v>9</v>
      </c>
      <c r="B3" s="10"/>
      <c r="C3" s="9"/>
      <c r="D3" s="9"/>
      <c r="E3" s="9"/>
      <c r="F3" s="9"/>
      <c r="G3" s="9"/>
      <c r="H3" s="9"/>
    </row>
    <row r="4" spans="1:10" x14ac:dyDescent="0.35">
      <c r="A4" t="s">
        <v>0</v>
      </c>
      <c r="B4" s="2">
        <v>0.99824179999999996</v>
      </c>
      <c r="C4">
        <v>0.42184490000000002</v>
      </c>
      <c r="D4">
        <v>0.85929215000000003</v>
      </c>
      <c r="E4">
        <v>0.73278209999999999</v>
      </c>
      <c r="F4">
        <v>0.74217224000000004</v>
      </c>
      <c r="H4">
        <f>AVERAGE(C4:F4)</f>
        <v>0.68902284749999998</v>
      </c>
    </row>
    <row r="5" spans="1:10" x14ac:dyDescent="0.35">
      <c r="A5" t="s">
        <v>5</v>
      </c>
      <c r="B5" s="2">
        <v>0.99862366999999996</v>
      </c>
      <c r="C5">
        <v>0.50920929999999998</v>
      </c>
      <c r="D5">
        <v>0.88073319999999999</v>
      </c>
      <c r="E5">
        <v>0.72177374000000005</v>
      </c>
      <c r="F5">
        <v>0.74038440000000005</v>
      </c>
      <c r="H5">
        <f t="shared" ref="H5:H16" si="0">AVERAGE(C5:F5)</f>
        <v>0.71302516000000005</v>
      </c>
      <c r="J5">
        <f>AVERAGE(C4:F8)</f>
        <v>0.70606965800000021</v>
      </c>
    </row>
    <row r="6" spans="1:10" x14ac:dyDescent="0.35">
      <c r="A6" t="s">
        <v>6</v>
      </c>
      <c r="B6" s="2">
        <v>0.99842595999999995</v>
      </c>
      <c r="C6">
        <v>0.53530073</v>
      </c>
      <c r="D6">
        <v>0.88816859999999997</v>
      </c>
      <c r="E6">
        <v>0.81505084000000005</v>
      </c>
      <c r="F6">
        <v>0.79700479999999996</v>
      </c>
      <c r="H6">
        <f t="shared" si="0"/>
        <v>0.7588812425</v>
      </c>
    </row>
    <row r="7" spans="1:10" x14ac:dyDescent="0.35">
      <c r="A7" t="s">
        <v>7</v>
      </c>
      <c r="B7" s="2">
        <v>0.9985657</v>
      </c>
      <c r="C7">
        <v>0.45929995000000001</v>
      </c>
      <c r="D7">
        <v>0.89712965</v>
      </c>
      <c r="E7">
        <v>0.75904380000000005</v>
      </c>
      <c r="F7">
        <v>0.68946640000000003</v>
      </c>
      <c r="H7">
        <f t="shared" si="0"/>
        <v>0.70123495000000002</v>
      </c>
    </row>
    <row r="8" spans="1:10" x14ac:dyDescent="0.35">
      <c r="A8" t="s">
        <v>8</v>
      </c>
      <c r="B8" s="2">
        <v>0.99839409999999995</v>
      </c>
      <c r="C8">
        <v>0.43313407999999998</v>
      </c>
      <c r="D8">
        <v>0.88751745000000004</v>
      </c>
      <c r="E8">
        <v>0.64298683000000001</v>
      </c>
      <c r="F8">
        <v>0.70909800000000001</v>
      </c>
      <c r="H8">
        <f t="shared" si="0"/>
        <v>0.66818409000000001</v>
      </c>
    </row>
    <row r="9" spans="1:10" x14ac:dyDescent="0.35">
      <c r="A9" s="4" t="s">
        <v>10</v>
      </c>
      <c r="B9" s="5"/>
      <c r="C9" s="6">
        <f>AVERAGE(C4:C8)</f>
        <v>0.47175779200000001</v>
      </c>
      <c r="D9" s="6">
        <f t="shared" ref="D9:F9" si="1">AVERAGE(D4:D8)</f>
        <v>0.88256820999999996</v>
      </c>
      <c r="E9" s="6">
        <f t="shared" si="1"/>
        <v>0.73432746199999999</v>
      </c>
      <c r="F9" s="6">
        <f t="shared" si="1"/>
        <v>0.73562516800000011</v>
      </c>
    </row>
    <row r="10" spans="1:10" x14ac:dyDescent="0.35">
      <c r="A10" s="1" t="s">
        <v>24</v>
      </c>
      <c r="C10">
        <f>AVEDEV(C4:C8)</f>
        <v>4.0397778399999994E-2</v>
      </c>
      <c r="D10">
        <f t="shared" ref="D10:F10" si="2">AVEDEV(D4:D8)</f>
        <v>1.0044428000000005E-2</v>
      </c>
      <c r="E10">
        <f t="shared" si="2"/>
        <v>4.2175886400000008E-2</v>
      </c>
      <c r="F10">
        <f t="shared" si="2"/>
        <v>2.9074374399999981E-2</v>
      </c>
    </row>
    <row r="11" spans="1:10" x14ac:dyDescent="0.35">
      <c r="A11" s="11" t="s">
        <v>11</v>
      </c>
      <c r="B11" s="9"/>
      <c r="C11" s="9"/>
      <c r="D11" s="9"/>
      <c r="E11" s="9"/>
      <c r="F11" s="9"/>
      <c r="G11" s="9"/>
      <c r="H11" s="9"/>
    </row>
    <row r="12" spans="1:10" x14ac:dyDescent="0.35">
      <c r="A12" t="s">
        <v>0</v>
      </c>
      <c r="B12" s="2">
        <v>0.99825304999999998</v>
      </c>
      <c r="C12">
        <v>0.40883302999999999</v>
      </c>
      <c r="D12">
        <v>0.85983217000000001</v>
      </c>
      <c r="E12">
        <v>0.73774329999999999</v>
      </c>
      <c r="F12">
        <v>0.74217224000000004</v>
      </c>
      <c r="H12">
        <f t="shared" si="0"/>
        <v>0.68714518499999999</v>
      </c>
    </row>
    <row r="13" spans="1:10" x14ac:dyDescent="0.35">
      <c r="A13" t="s">
        <v>5</v>
      </c>
      <c r="B13" s="2">
        <v>0.99863493000000003</v>
      </c>
      <c r="C13">
        <v>0.44444280000000003</v>
      </c>
      <c r="D13">
        <v>0.88133349999999999</v>
      </c>
      <c r="E13">
        <v>0.71674937000000005</v>
      </c>
      <c r="F13">
        <v>0.74038440000000005</v>
      </c>
      <c r="H13">
        <f t="shared" si="0"/>
        <v>0.69572751749999995</v>
      </c>
    </row>
    <row r="14" spans="1:10" x14ac:dyDescent="0.35">
      <c r="A14" t="s">
        <v>6</v>
      </c>
      <c r="B14" s="2">
        <v>0.99842869999999995</v>
      </c>
      <c r="C14">
        <v>0.48246852000000001</v>
      </c>
      <c r="D14">
        <v>0.88948609999999995</v>
      </c>
      <c r="E14">
        <v>0.81674933000000005</v>
      </c>
      <c r="F14">
        <v>0.79700479999999996</v>
      </c>
      <c r="H14">
        <f t="shared" si="0"/>
        <v>0.74642718749999992</v>
      </c>
      <c r="J14">
        <f>AVERAGE(C13:F17)</f>
        <v>0.69393100080000014</v>
      </c>
    </row>
    <row r="15" spans="1:10" x14ac:dyDescent="0.35">
      <c r="A15" t="s">
        <v>7</v>
      </c>
      <c r="B15" s="2">
        <v>0.998583</v>
      </c>
      <c r="C15">
        <v>0.38469344</v>
      </c>
      <c r="D15">
        <v>0.8987098</v>
      </c>
      <c r="E15">
        <v>0.75955342999999997</v>
      </c>
      <c r="F15">
        <v>0.68946640000000003</v>
      </c>
      <c r="H15">
        <f t="shared" si="0"/>
        <v>0.68310576749999996</v>
      </c>
    </row>
    <row r="16" spans="1:10" x14ac:dyDescent="0.35">
      <c r="A16" t="s">
        <v>8</v>
      </c>
      <c r="B16" s="2">
        <v>0.99842346000000004</v>
      </c>
      <c r="C16">
        <v>0.36883880000000002</v>
      </c>
      <c r="D16">
        <v>0.8958796</v>
      </c>
      <c r="E16">
        <v>0.63256159999999995</v>
      </c>
      <c r="F16">
        <v>0.70909800000000001</v>
      </c>
      <c r="H16">
        <f t="shared" si="0"/>
        <v>0.65159449999999997</v>
      </c>
    </row>
    <row r="17" spans="1:10" x14ac:dyDescent="0.35">
      <c r="A17" s="4" t="s">
        <v>10</v>
      </c>
      <c r="B17" s="5"/>
      <c r="C17" s="8">
        <f>AVERAGE(C12:C16)</f>
        <v>0.41785531799999998</v>
      </c>
      <c r="D17" s="7">
        <f t="shared" ref="D17" si="3">AVERAGE(D12:D16)</f>
        <v>0.88504823399999988</v>
      </c>
      <c r="E17" s="8">
        <f t="shared" ref="E17" si="4">AVERAGE(E12:E16)</f>
        <v>0.73267140599999991</v>
      </c>
      <c r="F17" s="6">
        <f t="shared" ref="F17" si="5">AVERAGE(F12:F16)</f>
        <v>0.73562516800000011</v>
      </c>
    </row>
    <row r="18" spans="1:10" x14ac:dyDescent="0.35">
      <c r="A18" s="1" t="s">
        <v>24</v>
      </c>
      <c r="C18">
        <f>AVEDEV(C12:C16)</f>
        <v>3.6480273600000002E-2</v>
      </c>
      <c r="D18">
        <f t="shared" ref="D18:F18" si="6">AVEDEV(D12:D16)</f>
        <v>1.1572319200000014E-2</v>
      </c>
      <c r="E18">
        <f t="shared" si="6"/>
        <v>4.6412736800000021E-2</v>
      </c>
      <c r="F18">
        <f t="shared" si="6"/>
        <v>2.9074374399999981E-2</v>
      </c>
    </row>
    <row r="19" spans="1:10" x14ac:dyDescent="0.35">
      <c r="A19" s="11" t="s">
        <v>16</v>
      </c>
      <c r="B19" s="9"/>
      <c r="C19" s="9"/>
      <c r="D19" s="9"/>
      <c r="E19" s="9"/>
      <c r="F19" s="9"/>
      <c r="G19" s="9"/>
      <c r="H19" s="9"/>
    </row>
    <row r="20" spans="1:10" x14ac:dyDescent="0.35">
      <c r="A20" t="s">
        <v>0</v>
      </c>
      <c r="B20" s="12">
        <v>0.99825929999999996</v>
      </c>
      <c r="C20" s="13">
        <v>0.41921209999999998</v>
      </c>
      <c r="D20" s="13">
        <v>0.86029756000000002</v>
      </c>
      <c r="E20" s="13">
        <v>0.74142677000000001</v>
      </c>
      <c r="F20" s="13">
        <v>0.74372744999999996</v>
      </c>
      <c r="H20">
        <f t="shared" ref="H20:H24" si="7">AVERAGE(C20:F20)</f>
        <v>0.69116596999999991</v>
      </c>
    </row>
    <row r="21" spans="1:10" x14ac:dyDescent="0.35">
      <c r="A21" t="s">
        <v>5</v>
      </c>
      <c r="B21" s="2">
        <v>0.99864273999999997</v>
      </c>
      <c r="C21">
        <v>0.45207910000000001</v>
      </c>
      <c r="D21">
        <v>0.88154160000000004</v>
      </c>
      <c r="E21">
        <v>0.73361129999999997</v>
      </c>
      <c r="F21">
        <v>0.74249052999999998</v>
      </c>
      <c r="H21">
        <f t="shared" si="7"/>
        <v>0.70243063249999993</v>
      </c>
    </row>
    <row r="22" spans="1:10" x14ac:dyDescent="0.35">
      <c r="A22" t="s">
        <v>6</v>
      </c>
      <c r="B22" s="2">
        <v>0.99843400000000004</v>
      </c>
      <c r="C22">
        <v>0.49470404000000001</v>
      </c>
      <c r="D22">
        <v>0.88942396999999995</v>
      </c>
      <c r="E22">
        <v>0.81819176999999998</v>
      </c>
      <c r="F22">
        <v>0.80097339999999995</v>
      </c>
      <c r="H22">
        <f t="shared" si="7"/>
        <v>0.750823295</v>
      </c>
      <c r="J22">
        <f>AVERAGE(C21:F25)</f>
        <v>0.69801590960000015</v>
      </c>
    </row>
    <row r="23" spans="1:10" x14ac:dyDescent="0.35">
      <c r="A23" t="s">
        <v>7</v>
      </c>
      <c r="B23" s="2">
        <v>0.99858179999999996</v>
      </c>
      <c r="C23">
        <v>0.39252740000000003</v>
      </c>
      <c r="D23">
        <v>0.89856429999999998</v>
      </c>
      <c r="E23">
        <v>0.75082629999999995</v>
      </c>
      <c r="F23">
        <v>0.69311725999999996</v>
      </c>
      <c r="H23">
        <f t="shared" si="7"/>
        <v>0.68375881500000002</v>
      </c>
    </row>
    <row r="24" spans="1:10" x14ac:dyDescent="0.35">
      <c r="A24" t="s">
        <v>8</v>
      </c>
      <c r="B24" s="2">
        <v>0.99842476999999996</v>
      </c>
      <c r="C24">
        <v>0.37730235000000001</v>
      </c>
      <c r="D24">
        <v>0.89591220000000005</v>
      </c>
      <c r="E24">
        <v>0.64283586000000004</v>
      </c>
      <c r="F24">
        <v>0.70871980000000001</v>
      </c>
      <c r="H24">
        <f t="shared" si="7"/>
        <v>0.65619255249999997</v>
      </c>
    </row>
    <row r="25" spans="1:10" x14ac:dyDescent="0.35">
      <c r="A25" s="4" t="s">
        <v>10</v>
      </c>
      <c r="B25" s="5"/>
      <c r="C25" s="8">
        <f>AVERAGE(C20:C24)</f>
        <v>0.42716499800000002</v>
      </c>
      <c r="D25" s="7">
        <f t="shared" ref="D25" si="8">AVERAGE(D20:D24)</f>
        <v>0.88514792599999992</v>
      </c>
      <c r="E25" s="7">
        <f t="shared" ref="E25" si="9">AVERAGE(E20:E24)</f>
        <v>0.73737839999999999</v>
      </c>
      <c r="F25" s="7">
        <f t="shared" ref="F25" si="10">AVERAGE(F20:F24)</f>
        <v>0.7378056879999999</v>
      </c>
    </row>
    <row r="26" spans="1:10" x14ac:dyDescent="0.35">
      <c r="A26" s="1" t="s">
        <v>24</v>
      </c>
      <c r="C26">
        <f>AVEDEV(C20:C24)</f>
        <v>3.6981257600000005E-2</v>
      </c>
      <c r="D26">
        <f t="shared" ref="D26:F26" si="11">AVEDEV(D20:D24)</f>
        <v>1.1382676800000002E-2</v>
      </c>
      <c r="E26">
        <f t="shared" si="11"/>
        <v>3.932385599999999E-2</v>
      </c>
      <c r="F26">
        <f t="shared" si="11"/>
        <v>2.9509726400000002E-2</v>
      </c>
    </row>
    <row r="27" spans="1:10" x14ac:dyDescent="0.35">
      <c r="A27" s="11" t="s">
        <v>17</v>
      </c>
      <c r="B27" s="9"/>
      <c r="C27" s="9"/>
      <c r="D27" s="9"/>
      <c r="E27" s="9"/>
      <c r="F27" s="9"/>
      <c r="G27" s="9"/>
      <c r="H27" s="9"/>
    </row>
    <row r="28" spans="1:10" x14ac:dyDescent="0.35">
      <c r="A28" t="s">
        <v>0</v>
      </c>
      <c r="B28" s="12">
        <v>0.99825715999999998</v>
      </c>
      <c r="C28" s="13">
        <v>0.42154449999999999</v>
      </c>
      <c r="D28" s="13">
        <v>0.85954934000000005</v>
      </c>
      <c r="E28" s="13">
        <v>0.74142677000000001</v>
      </c>
      <c r="F28" s="13">
        <v>0.74372744999999996</v>
      </c>
      <c r="G28" s="13"/>
      <c r="H28">
        <f t="shared" ref="H28:H32" si="12">AVERAGE(C28:F28)</f>
        <v>0.69156201499999992</v>
      </c>
    </row>
    <row r="29" spans="1:10" x14ac:dyDescent="0.35">
      <c r="A29" t="s">
        <v>5</v>
      </c>
      <c r="B29" s="2">
        <v>0.99865364999999995</v>
      </c>
      <c r="C29">
        <v>0.51091019999999998</v>
      </c>
      <c r="D29">
        <v>0.88148033999999997</v>
      </c>
      <c r="E29">
        <v>0.73361129999999997</v>
      </c>
      <c r="F29">
        <v>0.74249052999999998</v>
      </c>
      <c r="H29">
        <f t="shared" si="12"/>
        <v>0.71712309249999995</v>
      </c>
    </row>
    <row r="30" spans="1:10" x14ac:dyDescent="0.35">
      <c r="A30" t="s">
        <v>6</v>
      </c>
      <c r="B30" s="2">
        <v>0.99844049999999995</v>
      </c>
      <c r="C30">
        <v>0.53461974999999995</v>
      </c>
      <c r="D30">
        <v>0.88907579999999997</v>
      </c>
      <c r="E30">
        <v>0.81819176999999998</v>
      </c>
      <c r="F30">
        <v>0.80097339999999995</v>
      </c>
      <c r="H30">
        <f t="shared" si="12"/>
        <v>0.76071518000000005</v>
      </c>
      <c r="J30">
        <f>AVERAGE(C29:F33)</f>
        <v>0.71052670460000011</v>
      </c>
    </row>
    <row r="31" spans="1:10" x14ac:dyDescent="0.35">
      <c r="A31" t="s">
        <v>7</v>
      </c>
      <c r="B31" s="2">
        <v>0.99857770000000001</v>
      </c>
      <c r="C31">
        <v>0.45691648000000001</v>
      </c>
      <c r="D31">
        <v>0.89752494999999999</v>
      </c>
      <c r="E31">
        <v>0.75082629999999995</v>
      </c>
      <c r="F31">
        <v>0.69311725999999996</v>
      </c>
      <c r="H31">
        <f t="shared" si="12"/>
        <v>0.69959624749999993</v>
      </c>
    </row>
    <row r="32" spans="1:10" x14ac:dyDescent="0.35">
      <c r="A32" t="s">
        <v>8</v>
      </c>
      <c r="B32" s="2">
        <v>0.99841093999999997</v>
      </c>
      <c r="C32">
        <v>0.43033515999999999</v>
      </c>
      <c r="D32">
        <v>0.8894415</v>
      </c>
      <c r="E32">
        <v>0.64283586000000004</v>
      </c>
      <c r="F32">
        <v>0.70871980000000001</v>
      </c>
      <c r="H32">
        <f t="shared" si="12"/>
        <v>0.66783307999999997</v>
      </c>
    </row>
    <row r="33" spans="1:10" x14ac:dyDescent="0.35">
      <c r="A33" s="4" t="s">
        <v>10</v>
      </c>
      <c r="B33" s="5"/>
      <c r="C33" s="6">
        <f>AVERAGE(C28:C32)</f>
        <v>0.47086521799999997</v>
      </c>
      <c r="D33" s="6">
        <f t="shared" ref="D33" si="13">AVERAGE(D28:D32)</f>
        <v>0.88341438600000011</v>
      </c>
      <c r="E33" s="6">
        <f t="shared" ref="E33" si="14">AVERAGE(E28:E32)</f>
        <v>0.73737839999999999</v>
      </c>
      <c r="F33" s="6">
        <f t="shared" ref="F33" si="15">AVERAGE(F28:F32)</f>
        <v>0.7378056879999999</v>
      </c>
    </row>
    <row r="34" spans="1:10" x14ac:dyDescent="0.35">
      <c r="A34" s="1" t="s">
        <v>24</v>
      </c>
      <c r="C34">
        <f>AVEDEV(C28:C32)</f>
        <v>4.151980559999998E-2</v>
      </c>
      <c r="D34">
        <f t="shared" ref="D34:F34" si="16">AVEDEV(D28:D32)</f>
        <v>1.0319636799999966E-2</v>
      </c>
      <c r="E34">
        <f t="shared" si="16"/>
        <v>3.932385599999999E-2</v>
      </c>
      <c r="F34">
        <f t="shared" si="16"/>
        <v>2.9509726400000002E-2</v>
      </c>
    </row>
    <row r="35" spans="1:10" x14ac:dyDescent="0.35">
      <c r="A35" s="11" t="s">
        <v>19</v>
      </c>
      <c r="B35" s="9"/>
      <c r="C35" s="9"/>
      <c r="D35" s="9"/>
      <c r="E35" s="9"/>
      <c r="F35" s="9"/>
      <c r="G35" s="9"/>
      <c r="H35" s="9"/>
    </row>
    <row r="36" spans="1:10" x14ac:dyDescent="0.35">
      <c r="A36" t="s">
        <v>0</v>
      </c>
      <c r="B36" s="12">
        <v>0.99825763999999995</v>
      </c>
      <c r="C36" s="13">
        <v>0.42185785999999997</v>
      </c>
      <c r="D36" s="13">
        <v>0.86029756000000002</v>
      </c>
      <c r="E36" s="13">
        <v>0.73843400000000003</v>
      </c>
      <c r="F36" s="13">
        <v>0.74372744999999996</v>
      </c>
      <c r="G36" s="13"/>
      <c r="H36">
        <f t="shared" ref="H36:H40" si="17">AVERAGE(C36:F36)</f>
        <v>0.69107921750000001</v>
      </c>
    </row>
    <row r="37" spans="1:10" x14ac:dyDescent="0.35">
      <c r="A37" t="s">
        <v>5</v>
      </c>
      <c r="B37" s="12">
        <v>0.99863994</v>
      </c>
      <c r="C37" s="13">
        <v>0.50927836000000004</v>
      </c>
      <c r="D37" s="13">
        <v>0.88154160000000004</v>
      </c>
      <c r="E37" s="13">
        <v>0.72229049999999995</v>
      </c>
      <c r="F37" s="13">
        <v>0.74249052999999998</v>
      </c>
      <c r="H37">
        <f t="shared" si="17"/>
        <v>0.71390024749999992</v>
      </c>
    </row>
    <row r="38" spans="1:10" x14ac:dyDescent="0.35">
      <c r="A38" t="s">
        <v>6</v>
      </c>
      <c r="B38" s="2">
        <v>0.99844354000000002</v>
      </c>
      <c r="C38">
        <v>0.53489332999999994</v>
      </c>
      <c r="D38">
        <v>0.88942396999999995</v>
      </c>
      <c r="E38">
        <v>0.81751965999999998</v>
      </c>
      <c r="F38">
        <v>0.80097339999999995</v>
      </c>
      <c r="H38">
        <f t="shared" si="17"/>
        <v>0.76070258999999996</v>
      </c>
      <c r="J38">
        <f>AVERAGE(C37:F41)</f>
        <v>0.71121484909999988</v>
      </c>
    </row>
    <row r="39" spans="1:10" x14ac:dyDescent="0.35">
      <c r="A39" t="s">
        <v>7</v>
      </c>
      <c r="B39" s="2">
        <v>0.99858659999999999</v>
      </c>
      <c r="C39">
        <v>0.4593274</v>
      </c>
      <c r="D39">
        <v>0.89855695000000002</v>
      </c>
      <c r="E39">
        <v>0.76283089999999998</v>
      </c>
      <c r="F39">
        <v>0.69311725999999996</v>
      </c>
      <c r="H39">
        <f t="shared" si="17"/>
        <v>0.70345812750000003</v>
      </c>
    </row>
    <row r="40" spans="1:10" x14ac:dyDescent="0.35">
      <c r="A40" t="s">
        <v>8</v>
      </c>
      <c r="B40" s="2">
        <v>0.99842719999999996</v>
      </c>
      <c r="C40">
        <v>0.43301277999999999</v>
      </c>
      <c r="D40">
        <v>0.89591220000000005</v>
      </c>
      <c r="E40">
        <v>0.64297269999999995</v>
      </c>
      <c r="F40">
        <v>0.70871980000000001</v>
      </c>
      <c r="H40">
        <f t="shared" si="17"/>
        <v>0.67015437</v>
      </c>
    </row>
    <row r="41" spans="1:10" x14ac:dyDescent="0.35">
      <c r="A41" s="4" t="s">
        <v>10</v>
      </c>
      <c r="B41" s="5"/>
      <c r="C41" s="6">
        <f>AVERAGE(C36:C40)</f>
        <v>0.47167394600000001</v>
      </c>
      <c r="D41" s="6">
        <f t="shared" ref="D41" si="18">AVERAGE(D36:D40)</f>
        <v>0.88514645599999997</v>
      </c>
      <c r="E41" s="6">
        <f t="shared" ref="E41" si="19">AVERAGE(E36:E40)</f>
        <v>0.73680955199999998</v>
      </c>
      <c r="F41" s="6">
        <f t="shared" ref="F41" si="20">AVERAGE(F36:F40)</f>
        <v>0.7378056879999999</v>
      </c>
    </row>
    <row r="42" spans="1:10" x14ac:dyDescent="0.35">
      <c r="A42" s="1" t="s">
        <v>24</v>
      </c>
      <c r="C42">
        <f>AVEDEV(C36:C40)</f>
        <v>4.0329519200000011E-2</v>
      </c>
      <c r="D42">
        <f t="shared" ref="D42:F42" si="21">AVEDEV(D36:D40)</f>
        <v>1.13815008E-2</v>
      </c>
      <c r="E42">
        <f t="shared" si="21"/>
        <v>4.3342361600000025E-2</v>
      </c>
      <c r="F42">
        <f t="shared" si="21"/>
        <v>2.9509726400000002E-2</v>
      </c>
    </row>
    <row r="43" spans="1:10" x14ac:dyDescent="0.35">
      <c r="A43" s="11" t="s">
        <v>20</v>
      </c>
      <c r="B43" s="9"/>
      <c r="C43" s="9"/>
      <c r="D43" s="9"/>
      <c r="E43" s="9"/>
      <c r="F43" s="9"/>
      <c r="G43" s="9"/>
      <c r="H43" s="9"/>
    </row>
    <row r="44" spans="1:10" x14ac:dyDescent="0.35">
      <c r="A44" t="s">
        <v>0</v>
      </c>
      <c r="B44" s="12">
        <v>0.99825763999999995</v>
      </c>
      <c r="C44" s="13">
        <v>0.42184490000000002</v>
      </c>
      <c r="D44" s="13">
        <v>0.86028415000000003</v>
      </c>
      <c r="E44" s="13">
        <v>0.7384539</v>
      </c>
      <c r="F44" s="13">
        <v>0.74370860000000005</v>
      </c>
      <c r="G44" s="13"/>
      <c r="H44">
        <f t="shared" ref="H44:H48" si="22">AVERAGE(C44:F44)</f>
        <v>0.69107288750000007</v>
      </c>
    </row>
    <row r="45" spans="1:10" x14ac:dyDescent="0.35">
      <c r="A45" t="s">
        <v>5</v>
      </c>
      <c r="B45" s="12">
        <v>0.99863994</v>
      </c>
      <c r="C45" s="13">
        <v>0.50920929999999998</v>
      </c>
      <c r="D45" s="13">
        <v>0.88154160000000004</v>
      </c>
      <c r="E45" s="13">
        <v>0.72228000000000003</v>
      </c>
      <c r="F45" s="13">
        <v>0.74247229999999997</v>
      </c>
      <c r="H45">
        <f t="shared" si="22"/>
        <v>0.71387580000000006</v>
      </c>
    </row>
    <row r="46" spans="1:10" x14ac:dyDescent="0.35">
      <c r="A46" t="s">
        <v>6</v>
      </c>
      <c r="B46" s="2">
        <v>0.99844354000000002</v>
      </c>
      <c r="C46">
        <v>0.53530073</v>
      </c>
      <c r="D46">
        <v>0.88942370000000004</v>
      </c>
      <c r="E46">
        <v>0.81750595999999998</v>
      </c>
      <c r="F46">
        <v>0.80100702999999995</v>
      </c>
      <c r="H46">
        <f t="shared" si="22"/>
        <v>0.76080935500000002</v>
      </c>
      <c r="J46">
        <f>AVERAGE(C45:F49)</f>
        <v>0.71123730410000019</v>
      </c>
    </row>
    <row r="47" spans="1:10" x14ac:dyDescent="0.35">
      <c r="A47" t="s">
        <v>7</v>
      </c>
      <c r="B47" s="2">
        <v>0.99858659999999999</v>
      </c>
      <c r="C47">
        <v>0.45929995000000001</v>
      </c>
      <c r="D47">
        <v>0.89856429999999998</v>
      </c>
      <c r="E47">
        <v>0.76285420000000004</v>
      </c>
      <c r="F47">
        <v>0.69308066000000002</v>
      </c>
      <c r="H47">
        <f t="shared" si="22"/>
        <v>0.70344977750000004</v>
      </c>
    </row>
    <row r="48" spans="1:10" x14ac:dyDescent="0.35">
      <c r="A48" t="s">
        <v>8</v>
      </c>
      <c r="B48" s="2">
        <v>0.99842719999999996</v>
      </c>
      <c r="C48">
        <v>0.43313407999999998</v>
      </c>
      <c r="D48">
        <v>0.89591259999999995</v>
      </c>
      <c r="E48">
        <v>0.64295553999999999</v>
      </c>
      <c r="F48">
        <v>0.70869786000000001</v>
      </c>
      <c r="H48">
        <f t="shared" si="22"/>
        <v>0.67017501999999995</v>
      </c>
    </row>
    <row r="49" spans="1:10" x14ac:dyDescent="0.35">
      <c r="A49" s="4" t="s">
        <v>10</v>
      </c>
      <c r="B49" s="5"/>
      <c r="C49" s="6">
        <f>AVERAGE(C44:C48)</f>
        <v>0.47175779200000001</v>
      </c>
      <c r="D49" s="6">
        <f t="shared" ref="D49" si="23">AVERAGE(D44:D48)</f>
        <v>0.88514526999999998</v>
      </c>
      <c r="E49" s="6">
        <f t="shared" ref="E49" si="24">AVERAGE(E44:E48)</f>
        <v>0.73680992000000001</v>
      </c>
      <c r="F49" s="6">
        <f t="shared" ref="F49" si="25">AVERAGE(F44:F48)</f>
        <v>0.73779329000000005</v>
      </c>
    </row>
    <row r="50" spans="1:10" x14ac:dyDescent="0.35">
      <c r="A50" s="1" t="s">
        <v>24</v>
      </c>
      <c r="C50">
        <f>AVEDEV(C44:C48)</f>
        <v>4.0397778399999994E-2</v>
      </c>
      <c r="D50">
        <f t="shared" ref="D50:F50" si="26">AVEDEV(D44:D48)</f>
        <v>1.1385915999999986E-2</v>
      </c>
      <c r="E50">
        <f t="shared" si="26"/>
        <v>4.3353719999999998E-2</v>
      </c>
      <c r="F50">
        <f t="shared" si="26"/>
        <v>2.952322399999998E-2</v>
      </c>
    </row>
    <row r="51" spans="1:10" x14ac:dyDescent="0.35">
      <c r="A51" s="11" t="s">
        <v>26</v>
      </c>
      <c r="B51" s="9"/>
      <c r="C51" s="9"/>
      <c r="D51" s="9"/>
      <c r="E51" s="9"/>
      <c r="F51" s="9"/>
    </row>
    <row r="52" spans="1:10" x14ac:dyDescent="0.35">
      <c r="A52" t="s">
        <v>0</v>
      </c>
      <c r="B52" s="12">
        <v>0.99826026000000001</v>
      </c>
      <c r="C52" s="13">
        <v>0.42184490000000002</v>
      </c>
      <c r="D52" s="13">
        <v>0.86028415000000003</v>
      </c>
      <c r="E52" s="13">
        <v>0.74138652999999999</v>
      </c>
      <c r="F52" s="13">
        <v>0.74370860000000005</v>
      </c>
    </row>
    <row r="53" spans="1:10" x14ac:dyDescent="0.35">
      <c r="A53" t="s">
        <v>5</v>
      </c>
      <c r="B53" s="12">
        <v>0.99864949999999997</v>
      </c>
      <c r="C53" s="13">
        <v>0.50920929999999998</v>
      </c>
      <c r="D53" s="13">
        <v>0.88154160000000004</v>
      </c>
      <c r="E53" s="13">
        <v>0.73357384999999997</v>
      </c>
      <c r="F53" s="13">
        <v>0.74247229999999997</v>
      </c>
    </row>
    <row r="54" spans="1:10" x14ac:dyDescent="0.35">
      <c r="A54" t="s">
        <v>6</v>
      </c>
      <c r="B54" s="2">
        <v>0.99844379999999999</v>
      </c>
      <c r="C54">
        <v>0.53530073</v>
      </c>
      <c r="D54">
        <v>0.88942370000000004</v>
      </c>
      <c r="E54">
        <v>0.81817799999999996</v>
      </c>
      <c r="F54">
        <v>0.80100702999999995</v>
      </c>
    </row>
    <row r="55" spans="1:10" x14ac:dyDescent="0.35">
      <c r="A55" t="s">
        <v>7</v>
      </c>
      <c r="B55" s="2">
        <v>0.99858457</v>
      </c>
      <c r="C55">
        <v>0.45929995000000001</v>
      </c>
      <c r="D55">
        <v>0.89856429999999998</v>
      </c>
      <c r="E55">
        <v>0.75078800000000001</v>
      </c>
      <c r="F55">
        <v>0.69308066000000002</v>
      </c>
    </row>
    <row r="56" spans="1:10" x14ac:dyDescent="0.35">
      <c r="A56" t="s">
        <v>8</v>
      </c>
      <c r="B56" s="2">
        <v>0.99842790000000003</v>
      </c>
      <c r="C56">
        <v>0.43313407999999998</v>
      </c>
      <c r="D56">
        <v>0.89591259999999995</v>
      </c>
      <c r="E56">
        <v>0.64281860000000002</v>
      </c>
      <c r="F56">
        <v>0.70869786000000001</v>
      </c>
    </row>
    <row r="57" spans="1:10" x14ac:dyDescent="0.35">
      <c r="A57" s="4" t="s">
        <v>10</v>
      </c>
      <c r="B57" s="5"/>
      <c r="C57" s="6">
        <f>AVERAGE(C52:C56)</f>
        <v>0.47175779200000001</v>
      </c>
      <c r="D57" s="6">
        <f t="shared" ref="D57:F57" si="27">AVERAGE(D52:D56)</f>
        <v>0.88514526999999998</v>
      </c>
      <c r="E57" s="6">
        <f t="shared" si="27"/>
        <v>0.73734899599999992</v>
      </c>
      <c r="F57" s="6">
        <f t="shared" si="27"/>
        <v>0.73779329000000005</v>
      </c>
    </row>
    <row r="58" spans="1:10" x14ac:dyDescent="0.35">
      <c r="A58" s="1" t="s">
        <v>24</v>
      </c>
      <c r="C58">
        <f>AVEDEV(C52:C56)</f>
        <v>4.0397778399999994E-2</v>
      </c>
      <c r="D58">
        <f t="shared" ref="D58:F58" si="28">AVEDEV(D52:D56)</f>
        <v>1.1385915999999986E-2</v>
      </c>
      <c r="E58">
        <f t="shared" si="28"/>
        <v>3.9322216800000011E-2</v>
      </c>
      <c r="F58">
        <f t="shared" si="28"/>
        <v>2.952322399999998E-2</v>
      </c>
    </row>
    <row r="60" spans="1:10" x14ac:dyDescent="0.35">
      <c r="A60" s="1" t="s">
        <v>22</v>
      </c>
      <c r="C60" s="1"/>
      <c r="H60" s="1" t="s">
        <v>10</v>
      </c>
      <c r="J60" s="1" t="s">
        <v>21</v>
      </c>
    </row>
    <row r="61" spans="1:10" x14ac:dyDescent="0.35">
      <c r="A61" s="1"/>
      <c r="B61" s="21">
        <v>0</v>
      </c>
      <c r="C61" s="3">
        <v>1</v>
      </c>
      <c r="D61" s="3">
        <v>2</v>
      </c>
      <c r="E61" s="22">
        <v>3</v>
      </c>
      <c r="F61" s="3">
        <v>4</v>
      </c>
      <c r="H61" s="1"/>
    </row>
    <row r="62" spans="1:10" x14ac:dyDescent="0.35">
      <c r="A62" s="9" t="s">
        <v>9</v>
      </c>
      <c r="B62" s="10"/>
      <c r="C62" s="9"/>
      <c r="D62" s="9"/>
      <c r="E62" s="9"/>
      <c r="F62" s="9"/>
      <c r="G62" s="9"/>
      <c r="H62" s="9"/>
    </row>
    <row r="63" spans="1:10" x14ac:dyDescent="0.35">
      <c r="A63" t="s">
        <v>0</v>
      </c>
      <c r="B63" s="2">
        <v>2.2920866000000002</v>
      </c>
      <c r="C63">
        <v>20.774967</v>
      </c>
      <c r="D63">
        <v>14.034043</v>
      </c>
      <c r="E63">
        <v>52.550460000000001</v>
      </c>
      <c r="F63">
        <v>14.60328</v>
      </c>
      <c r="H63">
        <f>AVERAGE(C63:F63)</f>
        <v>25.4906875</v>
      </c>
    </row>
    <row r="64" spans="1:10" x14ac:dyDescent="0.35">
      <c r="A64" t="s">
        <v>5</v>
      </c>
      <c r="B64" s="2">
        <v>1.2886031</v>
      </c>
      <c r="C64">
        <v>12.959455500000001</v>
      </c>
      <c r="D64">
        <v>24.686657</v>
      </c>
      <c r="E64">
        <v>24.194493999999999</v>
      </c>
      <c r="F64">
        <v>11.692049000000001</v>
      </c>
      <c r="H64">
        <f t="shared" ref="H64:H67" si="29">AVERAGE(C64:F64)</f>
        <v>18.383163875000001</v>
      </c>
      <c r="J64">
        <f>AVERAGE(C63:F67)</f>
        <v>19.428907124999999</v>
      </c>
    </row>
    <row r="65" spans="1:10" x14ac:dyDescent="0.35">
      <c r="A65" t="s">
        <v>6</v>
      </c>
      <c r="B65" s="2">
        <v>1.6780927999999999</v>
      </c>
      <c r="C65">
        <v>12.035605</v>
      </c>
      <c r="D65">
        <v>25.423313</v>
      </c>
      <c r="E65">
        <v>8.6415120000000005</v>
      </c>
      <c r="F65">
        <v>14.239153</v>
      </c>
      <c r="H65">
        <f t="shared" si="29"/>
        <v>15.084895749999999</v>
      </c>
    </row>
    <row r="66" spans="1:10" x14ac:dyDescent="0.35">
      <c r="A66" t="s">
        <v>7</v>
      </c>
      <c r="B66" s="2">
        <v>1.6410826000000001</v>
      </c>
      <c r="C66">
        <v>13.282277000000001</v>
      </c>
      <c r="D66">
        <v>9.8122489999999996</v>
      </c>
      <c r="E66">
        <v>24.313343</v>
      </c>
      <c r="F66">
        <v>19.063058999999999</v>
      </c>
      <c r="H66">
        <f t="shared" si="29"/>
        <v>16.617732</v>
      </c>
    </row>
    <row r="67" spans="1:10" x14ac:dyDescent="0.35">
      <c r="A67" t="s">
        <v>8</v>
      </c>
      <c r="B67" s="2">
        <v>1.8584278000000001</v>
      </c>
      <c r="C67">
        <v>19.41386</v>
      </c>
      <c r="D67">
        <v>25.406967000000002</v>
      </c>
      <c r="E67">
        <v>22.220009000000001</v>
      </c>
      <c r="F67">
        <v>19.231390000000001</v>
      </c>
      <c r="H67">
        <f t="shared" si="29"/>
        <v>21.568056500000001</v>
      </c>
    </row>
    <row r="68" spans="1:10" x14ac:dyDescent="0.35">
      <c r="A68" s="4" t="s">
        <v>10</v>
      </c>
      <c r="B68" s="5"/>
      <c r="C68" s="6">
        <f>AVERAGE(C63:C67)</f>
        <v>15.693232899999998</v>
      </c>
      <c r="D68" s="6">
        <f t="shared" ref="D68:F68" si="30">AVERAGE(D63:D67)</f>
        <v>19.872645799999997</v>
      </c>
      <c r="E68" s="6">
        <f t="shared" si="30"/>
        <v>26.383963600000005</v>
      </c>
      <c r="F68" s="6">
        <f t="shared" si="30"/>
        <v>15.765786200000003</v>
      </c>
    </row>
    <row r="69" spans="1:10" x14ac:dyDescent="0.35">
      <c r="A69" s="1" t="s">
        <v>24</v>
      </c>
      <c r="C69">
        <f>AVEDEV(C63:C67)</f>
        <v>3.5209444799999994</v>
      </c>
      <c r="D69">
        <f t="shared" ref="D69:F69" si="31">AVEDEV(D63:D67)</f>
        <v>6.3595998400000004</v>
      </c>
      <c r="E69">
        <f t="shared" si="31"/>
        <v>10.466598560000003</v>
      </c>
      <c r="F69">
        <f t="shared" si="31"/>
        <v>2.7051506400000003</v>
      </c>
    </row>
    <row r="70" spans="1:10" x14ac:dyDescent="0.35">
      <c r="A70" s="11" t="s">
        <v>11</v>
      </c>
      <c r="B70" s="9"/>
      <c r="C70" s="9"/>
      <c r="D70" s="9"/>
      <c r="E70" s="9"/>
      <c r="F70" s="9"/>
      <c r="G70" s="9"/>
      <c r="H70" s="9"/>
    </row>
    <row r="71" spans="1:10" x14ac:dyDescent="0.35">
      <c r="A71" t="s">
        <v>0</v>
      </c>
      <c r="B71" s="2">
        <v>2.0240743000000001</v>
      </c>
      <c r="C71">
        <v>31.339024999999999</v>
      </c>
      <c r="D71">
        <v>13.688556</v>
      </c>
      <c r="E71">
        <v>24.696301999999999</v>
      </c>
      <c r="F71">
        <v>14.60328</v>
      </c>
      <c r="H71">
        <f t="shared" ref="H71:H75" si="32">AVERAGE(C71:F71)</f>
        <v>21.08179075</v>
      </c>
    </row>
    <row r="72" spans="1:10" x14ac:dyDescent="0.35">
      <c r="A72" t="s">
        <v>5</v>
      </c>
      <c r="B72" s="2">
        <v>1.1736101000000001</v>
      </c>
      <c r="C72">
        <v>46.189872999999999</v>
      </c>
      <c r="D72">
        <v>11.702444</v>
      </c>
      <c r="E72">
        <v>18.642507999999999</v>
      </c>
      <c r="F72">
        <v>11.692049000000001</v>
      </c>
      <c r="H72">
        <f t="shared" si="32"/>
        <v>22.056718499999999</v>
      </c>
    </row>
    <row r="73" spans="1:10" x14ac:dyDescent="0.35">
      <c r="A73" t="s">
        <v>6</v>
      </c>
      <c r="B73" s="2">
        <v>1.4980732999999999</v>
      </c>
      <c r="C73">
        <v>23.121670000000002</v>
      </c>
      <c r="D73">
        <v>12.286325</v>
      </c>
      <c r="E73">
        <v>10.035358</v>
      </c>
      <c r="F73">
        <v>14.239153</v>
      </c>
      <c r="H73">
        <f t="shared" si="32"/>
        <v>14.920626500000001</v>
      </c>
      <c r="J73">
        <f>AVERAGE(C72:F76)</f>
        <v>19.717076469999999</v>
      </c>
    </row>
    <row r="74" spans="1:10" x14ac:dyDescent="0.35">
      <c r="A74" t="s">
        <v>7</v>
      </c>
      <c r="B74" s="2">
        <v>1.3845860000000001</v>
      </c>
      <c r="C74">
        <v>41.286743000000001</v>
      </c>
      <c r="D74">
        <v>8.4954000000000001</v>
      </c>
      <c r="E74">
        <v>8.0213900000000002</v>
      </c>
      <c r="F74">
        <v>19.063058999999999</v>
      </c>
      <c r="H74">
        <f t="shared" si="32"/>
        <v>19.216647999999999</v>
      </c>
    </row>
    <row r="75" spans="1:10" x14ac:dyDescent="0.35">
      <c r="A75" t="s">
        <v>8</v>
      </c>
      <c r="B75" s="2">
        <v>1.4115647</v>
      </c>
      <c r="C75">
        <v>40.554355999999999</v>
      </c>
      <c r="D75">
        <v>10.254002</v>
      </c>
      <c r="E75">
        <v>19.747693999999999</v>
      </c>
      <c r="F75">
        <v>19.231390000000001</v>
      </c>
      <c r="H75">
        <f t="shared" si="32"/>
        <v>22.4468605</v>
      </c>
    </row>
    <row r="76" spans="1:10" x14ac:dyDescent="0.35">
      <c r="A76" s="4" t="s">
        <v>10</v>
      </c>
      <c r="B76" s="5"/>
      <c r="C76">
        <f>AVERAGE(C71:C75)</f>
        <v>36.4983334</v>
      </c>
      <c r="D76">
        <f t="shared" ref="D76:F76" si="33">AVERAGE(D71:D75)</f>
        <v>11.285345400000001</v>
      </c>
      <c r="E76">
        <f t="shared" si="33"/>
        <v>16.228650399999999</v>
      </c>
      <c r="F76">
        <f t="shared" si="33"/>
        <v>15.765786200000003</v>
      </c>
    </row>
    <row r="77" spans="1:10" x14ac:dyDescent="0.35">
      <c r="A77" s="1" t="s">
        <v>24</v>
      </c>
      <c r="C77">
        <f>AVEDEV(C71:C75)</f>
        <v>7.4143887199999998</v>
      </c>
      <c r="D77">
        <f t="shared" ref="D77:F77" si="34">AVEDEV(D71:D75)</f>
        <v>1.5285155199999998</v>
      </c>
      <c r="E77">
        <f t="shared" si="34"/>
        <v>5.7602211199999998</v>
      </c>
      <c r="F77">
        <f t="shared" si="34"/>
        <v>2.7051506400000003</v>
      </c>
    </row>
    <row r="78" spans="1:10" x14ac:dyDescent="0.35">
      <c r="A78" s="11" t="s">
        <v>16</v>
      </c>
      <c r="B78" s="9"/>
      <c r="C78" s="9"/>
      <c r="D78" s="9"/>
      <c r="E78" s="9"/>
      <c r="F78" s="9"/>
      <c r="G78" s="9"/>
      <c r="H78" s="9"/>
    </row>
    <row r="79" spans="1:10" x14ac:dyDescent="0.35">
      <c r="A79" t="s">
        <v>0</v>
      </c>
      <c r="B79" s="12">
        <v>1.9087677000000001</v>
      </c>
      <c r="C79" s="13">
        <v>30.974405000000001</v>
      </c>
      <c r="D79" s="13">
        <v>13.692897</v>
      </c>
      <c r="E79" s="13">
        <v>12.121672999999999</v>
      </c>
      <c r="F79" s="13">
        <v>14.582119</v>
      </c>
      <c r="H79">
        <f t="shared" ref="H79:H83" si="35">AVERAGE(C79:F79)</f>
        <v>17.8427735</v>
      </c>
    </row>
    <row r="80" spans="1:10" x14ac:dyDescent="0.35">
      <c r="A80" t="s">
        <v>5</v>
      </c>
      <c r="B80" s="2">
        <v>1.1736101000000001</v>
      </c>
      <c r="C80">
        <v>46.313290000000002</v>
      </c>
      <c r="D80">
        <v>11.674405</v>
      </c>
      <c r="E80">
        <v>11.182729</v>
      </c>
      <c r="F80">
        <v>11.047152499999999</v>
      </c>
      <c r="H80">
        <f t="shared" si="35"/>
        <v>20.054394124999998</v>
      </c>
    </row>
    <row r="81" spans="1:10" x14ac:dyDescent="0.35">
      <c r="A81" t="s">
        <v>6</v>
      </c>
      <c r="B81" s="2">
        <v>1.4876014</v>
      </c>
      <c r="C81">
        <v>22.607596999999998</v>
      </c>
      <c r="D81">
        <v>12.322092</v>
      </c>
      <c r="E81">
        <v>9.2157689999999999</v>
      </c>
      <c r="F81">
        <v>11.825653000000001</v>
      </c>
      <c r="H81">
        <f t="shared" si="35"/>
        <v>13.99277775</v>
      </c>
      <c r="J81">
        <f>AVERAGE(C80:F84)</f>
        <v>19.02100343</v>
      </c>
    </row>
    <row r="82" spans="1:10" x14ac:dyDescent="0.35">
      <c r="A82" t="s">
        <v>7</v>
      </c>
      <c r="B82" s="2">
        <v>1.3618832000000001</v>
      </c>
      <c r="C82">
        <v>41.0137</v>
      </c>
      <c r="D82">
        <v>8.6153110000000002</v>
      </c>
      <c r="E82">
        <v>10.340324000000001</v>
      </c>
      <c r="F82">
        <v>16.745539999999998</v>
      </c>
      <c r="H82">
        <f t="shared" si="35"/>
        <v>19.178718750000002</v>
      </c>
    </row>
    <row r="83" spans="1:10" x14ac:dyDescent="0.35">
      <c r="A83" t="s">
        <v>8</v>
      </c>
      <c r="B83" s="2">
        <v>1.3661964</v>
      </c>
      <c r="C83">
        <v>40.117676000000003</v>
      </c>
      <c r="D83">
        <v>10.251014</v>
      </c>
      <c r="E83">
        <v>20.092417000000001</v>
      </c>
      <c r="F83">
        <v>21.756872000000001</v>
      </c>
      <c r="H83">
        <f t="shared" si="35"/>
        <v>23.05449475</v>
      </c>
    </row>
    <row r="84" spans="1:10" x14ac:dyDescent="0.35">
      <c r="A84" s="4" t="s">
        <v>10</v>
      </c>
      <c r="B84" s="5"/>
      <c r="C84">
        <f>AVERAGE(C79:C83)</f>
        <v>36.205333600000003</v>
      </c>
      <c r="D84">
        <f t="shared" ref="D84:F84" si="36">AVERAGE(D79:D83)</f>
        <v>11.3111438</v>
      </c>
      <c r="E84">
        <f t="shared" si="36"/>
        <v>12.590582399999999</v>
      </c>
      <c r="F84">
        <f t="shared" si="36"/>
        <v>15.191467299999999</v>
      </c>
    </row>
    <row r="85" spans="1:10" x14ac:dyDescent="0.35">
      <c r="A85" s="1" t="s">
        <v>24</v>
      </c>
      <c r="C85">
        <f>AVEDEV(C79:C83)</f>
        <v>7.5314660800000013</v>
      </c>
      <c r="D85">
        <f t="shared" ref="D85:F85" si="37">AVEDEV(D79:D83)</f>
        <v>1.5023850400000001</v>
      </c>
      <c r="E85">
        <f t="shared" si="37"/>
        <v>3.0007338399999997</v>
      </c>
      <c r="F85">
        <f t="shared" si="37"/>
        <v>3.2477909599999997</v>
      </c>
    </row>
    <row r="86" spans="1:10" x14ac:dyDescent="0.35">
      <c r="A86" s="11" t="s">
        <v>17</v>
      </c>
      <c r="B86" s="9"/>
      <c r="C86" s="9"/>
      <c r="D86" s="9"/>
      <c r="E86" s="9"/>
      <c r="F86" s="9"/>
      <c r="G86" s="9"/>
      <c r="H86" s="9"/>
    </row>
    <row r="87" spans="1:10" x14ac:dyDescent="0.35">
      <c r="A87" t="s">
        <v>0</v>
      </c>
      <c r="B87" s="12">
        <v>1.9104346999999999</v>
      </c>
      <c r="C87" s="13">
        <v>20.501042999999999</v>
      </c>
      <c r="D87" s="13">
        <v>13.930933</v>
      </c>
      <c r="E87" s="13">
        <v>12.121672999999999</v>
      </c>
      <c r="F87" s="13">
        <v>14.582119</v>
      </c>
      <c r="G87" s="13"/>
      <c r="H87">
        <f t="shared" ref="H87:H91" si="38">AVERAGE(C87:F87)</f>
        <v>15.283942</v>
      </c>
    </row>
    <row r="88" spans="1:10" x14ac:dyDescent="0.35">
      <c r="A88" t="s">
        <v>5</v>
      </c>
      <c r="B88" s="2">
        <v>1.1483285000000001</v>
      </c>
      <c r="C88">
        <v>13.667502000000001</v>
      </c>
      <c r="D88">
        <v>11.784941999999999</v>
      </c>
      <c r="E88">
        <v>11.182729</v>
      </c>
      <c r="F88">
        <v>11.047152499999999</v>
      </c>
      <c r="H88">
        <f t="shared" si="38"/>
        <v>11.920581375000001</v>
      </c>
    </row>
    <row r="89" spans="1:10" x14ac:dyDescent="0.35">
      <c r="A89" t="s">
        <v>6</v>
      </c>
      <c r="B89" s="2">
        <v>1.5295160000000001</v>
      </c>
      <c r="C89">
        <v>12.158419</v>
      </c>
      <c r="D89">
        <v>12.448321</v>
      </c>
      <c r="E89">
        <v>9.2157689999999999</v>
      </c>
      <c r="F89">
        <v>11.825653000000001</v>
      </c>
      <c r="H89">
        <f t="shared" si="38"/>
        <v>11.412040500000002</v>
      </c>
      <c r="J89">
        <f>AVERAGE(C88:F92)</f>
        <v>14.474712070000001</v>
      </c>
    </row>
    <row r="90" spans="1:10" x14ac:dyDescent="0.35">
      <c r="A90" t="s">
        <v>7</v>
      </c>
      <c r="B90" s="2">
        <v>1.3763858</v>
      </c>
      <c r="C90">
        <v>12.901281000000001</v>
      </c>
      <c r="D90">
        <v>10.022477</v>
      </c>
      <c r="E90">
        <v>10.340324000000001</v>
      </c>
      <c r="F90">
        <v>16.745539999999998</v>
      </c>
      <c r="H90">
        <f t="shared" si="38"/>
        <v>12.5024055</v>
      </c>
    </row>
    <row r="91" spans="1:10" x14ac:dyDescent="0.35">
      <c r="A91" t="s">
        <v>8</v>
      </c>
      <c r="B91" s="2">
        <v>1.4488586000000001</v>
      </c>
      <c r="C91">
        <v>20.826827999999999</v>
      </c>
      <c r="D91">
        <v>25.039680000000001</v>
      </c>
      <c r="E91">
        <v>20.092417000000001</v>
      </c>
      <c r="F91">
        <v>21.756872000000001</v>
      </c>
      <c r="H91">
        <f t="shared" si="38"/>
        <v>21.928949249999999</v>
      </c>
    </row>
    <row r="92" spans="1:10" x14ac:dyDescent="0.35">
      <c r="A92" s="4" t="s">
        <v>10</v>
      </c>
      <c r="B92" s="5"/>
      <c r="C92" s="6">
        <f>AVERAGE(C87:C91)</f>
        <v>16.011014599999999</v>
      </c>
      <c r="D92" s="6">
        <f t="shared" ref="D92:F92" si="39">AVERAGE(D87:D91)</f>
        <v>14.6452706</v>
      </c>
      <c r="E92" s="6">
        <f t="shared" si="39"/>
        <v>12.590582399999999</v>
      </c>
      <c r="F92" s="6">
        <f t="shared" si="39"/>
        <v>15.191467299999999</v>
      </c>
    </row>
    <row r="93" spans="1:10" x14ac:dyDescent="0.35">
      <c r="A93" s="1" t="s">
        <v>24</v>
      </c>
      <c r="C93">
        <f>AVEDEV(C87:C91)</f>
        <v>3.722336719999999</v>
      </c>
      <c r="D93">
        <f t="shared" ref="D93:F93" si="40">AVEDEV(D87:D91)</f>
        <v>4.1577637599999999</v>
      </c>
      <c r="E93">
        <f t="shared" si="40"/>
        <v>3.0007338399999997</v>
      </c>
      <c r="F93">
        <f t="shared" si="40"/>
        <v>3.2477909599999997</v>
      </c>
    </row>
    <row r="94" spans="1:10" x14ac:dyDescent="0.35">
      <c r="A94" s="11" t="s">
        <v>19</v>
      </c>
      <c r="B94" s="9"/>
      <c r="C94" s="9"/>
      <c r="D94" s="9"/>
      <c r="E94" s="9"/>
      <c r="F94" s="9"/>
      <c r="G94" s="9"/>
      <c r="H94" s="9"/>
    </row>
    <row r="95" spans="1:10" x14ac:dyDescent="0.35">
      <c r="A95" t="s">
        <v>0</v>
      </c>
      <c r="B95" s="12">
        <v>1.9308453000000001</v>
      </c>
      <c r="C95" s="13">
        <v>20.749306000000001</v>
      </c>
      <c r="D95" s="13">
        <v>13.692897</v>
      </c>
      <c r="E95" s="13">
        <v>50.742510000000003</v>
      </c>
      <c r="F95" s="13">
        <v>14.582119</v>
      </c>
      <c r="G95" s="13"/>
      <c r="H95">
        <f t="shared" ref="H95:H99" si="41">AVERAGE(C95:F95)</f>
        <v>24.941708000000002</v>
      </c>
    </row>
    <row r="96" spans="1:10" x14ac:dyDescent="0.35">
      <c r="A96" t="s">
        <v>5</v>
      </c>
      <c r="B96" s="12">
        <v>1.2346433000000001</v>
      </c>
      <c r="C96" s="13">
        <v>12.960146</v>
      </c>
      <c r="D96" s="13">
        <v>11.674405</v>
      </c>
      <c r="E96" s="13">
        <v>19.750727000000001</v>
      </c>
      <c r="F96" s="13">
        <v>11.047152499999999</v>
      </c>
      <c r="H96">
        <f t="shared" si="41"/>
        <v>13.858107624999999</v>
      </c>
    </row>
    <row r="97" spans="1:10" x14ac:dyDescent="0.35">
      <c r="A97" t="s">
        <v>6</v>
      </c>
      <c r="B97" s="2">
        <v>1.5375407999999999</v>
      </c>
      <c r="C97">
        <v>12.061335</v>
      </c>
      <c r="D97">
        <v>12.322092</v>
      </c>
      <c r="E97">
        <v>9.1320029999999992</v>
      </c>
      <c r="F97">
        <v>11.825653000000001</v>
      </c>
      <c r="H97">
        <f t="shared" si="41"/>
        <v>11.335270749999999</v>
      </c>
      <c r="J97">
        <f>AVERAGE(C96:F100)</f>
        <v>14.206285958</v>
      </c>
    </row>
    <row r="98" spans="1:10" x14ac:dyDescent="0.35">
      <c r="A98" t="s">
        <v>7</v>
      </c>
      <c r="B98" s="2">
        <v>1.4022348</v>
      </c>
      <c r="C98">
        <v>13.281138</v>
      </c>
      <c r="D98">
        <v>8.6256695000000008</v>
      </c>
      <c r="E98">
        <v>7.8585773000000003</v>
      </c>
      <c r="F98">
        <v>16.745539999999998</v>
      </c>
      <c r="H98">
        <f t="shared" si="41"/>
        <v>11.627731199999999</v>
      </c>
    </row>
    <row r="99" spans="1:10" x14ac:dyDescent="0.35">
      <c r="A99" t="s">
        <v>8</v>
      </c>
      <c r="B99" s="2">
        <v>1.3498874000000001</v>
      </c>
      <c r="C99">
        <v>19.419982999999998</v>
      </c>
      <c r="D99">
        <v>10.251014</v>
      </c>
      <c r="E99">
        <v>21.431319999999999</v>
      </c>
      <c r="F99">
        <v>21.756872000000001</v>
      </c>
      <c r="H99">
        <f t="shared" si="41"/>
        <v>18.21479725</v>
      </c>
    </row>
    <row r="100" spans="1:10" x14ac:dyDescent="0.35">
      <c r="A100" s="4" t="s">
        <v>10</v>
      </c>
      <c r="B100" s="5"/>
      <c r="C100" s="6">
        <f>AVERAGE(C95:C99)</f>
        <v>15.6943816</v>
      </c>
      <c r="D100" s="6">
        <f t="shared" ref="D100:F100" si="42">AVERAGE(D95:D99)</f>
        <v>11.3132155</v>
      </c>
      <c r="E100" s="6">
        <f t="shared" si="42"/>
        <v>21.78302746</v>
      </c>
      <c r="F100" s="6">
        <f t="shared" si="42"/>
        <v>15.191467299999999</v>
      </c>
    </row>
    <row r="101" spans="1:10" x14ac:dyDescent="0.35">
      <c r="A101" s="1" t="s">
        <v>24</v>
      </c>
      <c r="C101">
        <f>AVEDEV(C95:C99)</f>
        <v>3.5122103199999999</v>
      </c>
      <c r="D101">
        <f t="shared" ref="D101:F101" si="43">AVEDEV(D95:D99)</f>
        <v>1.4998989999999999</v>
      </c>
      <c r="E101">
        <f t="shared" si="43"/>
        <v>11.583793016</v>
      </c>
      <c r="F101">
        <f t="shared" si="43"/>
        <v>3.2477909599999997</v>
      </c>
    </row>
    <row r="102" spans="1:10" x14ac:dyDescent="0.35">
      <c r="A102" s="11" t="s">
        <v>20</v>
      </c>
      <c r="B102" s="9"/>
      <c r="C102" s="9"/>
      <c r="D102" s="9"/>
      <c r="E102" s="9"/>
      <c r="F102" s="9"/>
      <c r="G102" s="9"/>
      <c r="H102" s="9"/>
    </row>
    <row r="103" spans="1:10" x14ac:dyDescent="0.35">
      <c r="A103" t="s">
        <v>0</v>
      </c>
      <c r="B103" s="12">
        <v>1.9308453000000001</v>
      </c>
      <c r="C103" s="13">
        <v>20.774967</v>
      </c>
      <c r="D103" s="13">
        <v>13.692897</v>
      </c>
      <c r="E103" s="13">
        <v>50.742510000000003</v>
      </c>
      <c r="F103" s="13">
        <v>14.581243499999999</v>
      </c>
      <c r="G103" s="13"/>
      <c r="H103">
        <f t="shared" ref="H103:H107" si="44">AVERAGE(C103:F103)</f>
        <v>24.947904375</v>
      </c>
    </row>
    <row r="104" spans="1:10" x14ac:dyDescent="0.35">
      <c r="A104" t="s">
        <v>5</v>
      </c>
      <c r="B104" s="12">
        <v>1.2346433000000001</v>
      </c>
      <c r="C104" s="13">
        <v>12.959455500000001</v>
      </c>
      <c r="D104" s="13">
        <v>11.674405</v>
      </c>
      <c r="E104" s="13">
        <v>19.748128999999999</v>
      </c>
      <c r="F104" s="13">
        <v>11.047152499999999</v>
      </c>
      <c r="H104">
        <f t="shared" si="44"/>
        <v>13.8572855</v>
      </c>
    </row>
    <row r="105" spans="1:10" x14ac:dyDescent="0.35">
      <c r="A105" t="s">
        <v>6</v>
      </c>
      <c r="B105" s="2">
        <v>1.5375407999999999</v>
      </c>
      <c r="C105">
        <v>12.035605</v>
      </c>
      <c r="D105">
        <v>12.322092</v>
      </c>
      <c r="E105">
        <v>9.1312169999999995</v>
      </c>
      <c r="F105">
        <v>11.821489</v>
      </c>
      <c r="H105">
        <f t="shared" si="44"/>
        <v>11.32760075</v>
      </c>
      <c r="J105">
        <f>AVERAGE(C104:F108)</f>
        <v>14.204657715</v>
      </c>
    </row>
    <row r="106" spans="1:10" x14ac:dyDescent="0.35">
      <c r="A106" t="s">
        <v>7</v>
      </c>
      <c r="B106" s="2">
        <v>1.4022348</v>
      </c>
      <c r="C106">
        <v>13.282277000000001</v>
      </c>
      <c r="D106">
        <v>8.6153110000000002</v>
      </c>
      <c r="E106">
        <v>7.8706040000000002</v>
      </c>
      <c r="F106">
        <v>16.745155</v>
      </c>
      <c r="H106">
        <f t="shared" si="44"/>
        <v>11.628336749999999</v>
      </c>
    </row>
    <row r="107" spans="1:10" x14ac:dyDescent="0.35">
      <c r="A107" t="s">
        <v>8</v>
      </c>
      <c r="B107" s="2">
        <v>1.3498874000000001</v>
      </c>
      <c r="C107">
        <v>19.41386</v>
      </c>
      <c r="D107">
        <v>10.251014</v>
      </c>
      <c r="E107">
        <v>21.431319999999999</v>
      </c>
      <c r="F107">
        <v>21.763273000000002</v>
      </c>
      <c r="H107">
        <f t="shared" si="44"/>
        <v>18.214866749999999</v>
      </c>
    </row>
    <row r="108" spans="1:10" x14ac:dyDescent="0.35">
      <c r="A108" s="4" t="s">
        <v>10</v>
      </c>
      <c r="B108" s="5"/>
      <c r="C108" s="6">
        <f>AVERAGE(C103:C107)</f>
        <v>15.693232899999998</v>
      </c>
      <c r="D108" s="6">
        <f t="shared" ref="D108:F108" si="45">AVERAGE(D103:D107)</f>
        <v>11.3111438</v>
      </c>
      <c r="E108" s="6">
        <f t="shared" si="45"/>
        <v>21.784756000000002</v>
      </c>
      <c r="F108" s="6">
        <f t="shared" si="45"/>
        <v>15.191662599999997</v>
      </c>
    </row>
    <row r="109" spans="1:10" x14ac:dyDescent="0.35">
      <c r="A109" s="1" t="s">
        <v>24</v>
      </c>
      <c r="C109">
        <f>AVEDEV(C103:C107)</f>
        <v>3.5209444799999994</v>
      </c>
      <c r="D109">
        <f t="shared" ref="D109:F109" si="46">AVEDEV(D103:D107)</f>
        <v>1.5023850400000001</v>
      </c>
      <c r="E109">
        <f t="shared" si="46"/>
        <v>11.583101600000003</v>
      </c>
      <c r="F109">
        <f t="shared" si="46"/>
        <v>3.2500411200000001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74D5-ADF8-489E-9B1F-463A5BA2F8EC}">
  <dimension ref="A1:K18"/>
  <sheetViews>
    <sheetView tabSelected="1" workbookViewId="0">
      <selection activeCell="G7" sqref="G7"/>
    </sheetView>
  </sheetViews>
  <sheetFormatPr defaultRowHeight="14.5" x14ac:dyDescent="0.35"/>
  <cols>
    <col min="1" max="1" width="14.1796875" customWidth="1"/>
    <col min="2" max="2" width="9.7265625" customWidth="1"/>
    <col min="3" max="3" width="9" customWidth="1"/>
    <col min="5" max="5" width="10.08984375" customWidth="1"/>
    <col min="6" max="6" width="9.36328125" bestFit="1" customWidth="1"/>
  </cols>
  <sheetData>
    <row r="1" spans="1:11" x14ac:dyDescent="0.35">
      <c r="A1" s="1" t="s">
        <v>23</v>
      </c>
      <c r="B1" s="3">
        <v>1</v>
      </c>
      <c r="C1" s="3">
        <v>2</v>
      </c>
      <c r="D1" s="22">
        <v>3</v>
      </c>
      <c r="E1" s="3">
        <v>4</v>
      </c>
      <c r="F1" s="3" t="s">
        <v>10</v>
      </c>
      <c r="G1" s="1" t="s">
        <v>25</v>
      </c>
    </row>
    <row r="2" spans="1:11" x14ac:dyDescent="0.35">
      <c r="A2" t="s">
        <v>9</v>
      </c>
      <c r="B2">
        <v>0.47175779200000001</v>
      </c>
      <c r="C2">
        <v>0.88256820999999996</v>
      </c>
      <c r="D2">
        <v>0.73432746199999999</v>
      </c>
      <c r="E2">
        <v>0.73562516800000011</v>
      </c>
      <c r="F2">
        <f>AVERAGE(B2:E2)</f>
        <v>0.7060696580000001</v>
      </c>
      <c r="H2">
        <v>4.0397778399999994E-2</v>
      </c>
      <c r="I2">
        <v>1.0044428000000005E-2</v>
      </c>
      <c r="J2">
        <v>4.2175886400000008E-2</v>
      </c>
      <c r="K2">
        <v>2.9074374399999981E-2</v>
      </c>
    </row>
    <row r="3" spans="1:11" x14ac:dyDescent="0.35">
      <c r="A3" t="s">
        <v>11</v>
      </c>
      <c r="B3" s="15">
        <v>0.41785531799999998</v>
      </c>
      <c r="C3" s="14">
        <v>0.88504823399999988</v>
      </c>
      <c r="D3" s="15">
        <v>0.73267140599999991</v>
      </c>
      <c r="E3" s="15">
        <v>0.73562516800000011</v>
      </c>
      <c r="F3">
        <f t="shared" ref="F3:F16" si="0">AVERAGE(B3:E3)</f>
        <v>0.69280003150000002</v>
      </c>
      <c r="H3">
        <v>3.6480273600000002E-2</v>
      </c>
      <c r="I3">
        <v>1.1572319200000014E-2</v>
      </c>
      <c r="J3">
        <v>4.6412736800000021E-2</v>
      </c>
      <c r="K3">
        <v>2.9074374399999981E-2</v>
      </c>
    </row>
    <row r="4" spans="1:11" x14ac:dyDescent="0.35">
      <c r="A4" t="s">
        <v>16</v>
      </c>
      <c r="B4" s="15">
        <v>0.42716499800000002</v>
      </c>
      <c r="C4" s="14">
        <v>0.88514792599999992</v>
      </c>
      <c r="D4" s="16">
        <v>0.73737839999999999</v>
      </c>
      <c r="E4" s="16">
        <v>0.7378056879999999</v>
      </c>
      <c r="F4">
        <f t="shared" si="0"/>
        <v>0.69687425299999994</v>
      </c>
      <c r="H4">
        <v>3.6981257600000005E-2</v>
      </c>
      <c r="I4">
        <v>1.1382676800000002E-2</v>
      </c>
      <c r="J4">
        <v>3.932385599999999E-2</v>
      </c>
      <c r="K4">
        <v>2.9509726400000002E-2</v>
      </c>
    </row>
    <row r="5" spans="1:11" x14ac:dyDescent="0.35">
      <c r="A5" t="s">
        <v>17</v>
      </c>
      <c r="B5" s="15">
        <v>0.47086521799999997</v>
      </c>
      <c r="C5" s="14">
        <v>0.88341438600000011</v>
      </c>
      <c r="D5" s="16">
        <v>0.73737839999999999</v>
      </c>
      <c r="E5" s="16">
        <v>0.7378056879999999</v>
      </c>
      <c r="F5">
        <f t="shared" si="0"/>
        <v>0.70736592300000001</v>
      </c>
      <c r="H5">
        <v>4.151980559999998E-2</v>
      </c>
      <c r="I5">
        <v>1.0319636799999966E-2</v>
      </c>
      <c r="J5">
        <v>3.932385599999999E-2</v>
      </c>
      <c r="K5">
        <v>2.9509726400000002E-2</v>
      </c>
    </row>
    <row r="6" spans="1:11" x14ac:dyDescent="0.35">
      <c r="A6" t="s">
        <v>19</v>
      </c>
      <c r="B6">
        <v>0.47167394600000001</v>
      </c>
      <c r="C6" s="14">
        <v>0.88514645599999997</v>
      </c>
      <c r="D6" s="14">
        <v>0.73680955199999998</v>
      </c>
      <c r="E6" s="16">
        <v>0.7378056879999999</v>
      </c>
      <c r="F6">
        <f t="shared" si="0"/>
        <v>0.70785891049999994</v>
      </c>
      <c r="H6">
        <v>4.0329519200000011E-2</v>
      </c>
      <c r="I6">
        <v>1.13815008E-2</v>
      </c>
      <c r="J6">
        <v>4.3342361600000025E-2</v>
      </c>
      <c r="K6">
        <v>2.9509726400000002E-2</v>
      </c>
    </row>
    <row r="7" spans="1:11" x14ac:dyDescent="0.35">
      <c r="A7" s="16" t="s">
        <v>20</v>
      </c>
      <c r="B7">
        <v>0.47175779200000001</v>
      </c>
      <c r="C7" s="14">
        <v>0.88514526999999998</v>
      </c>
      <c r="D7" s="14">
        <v>0.73680992000000001</v>
      </c>
      <c r="E7" s="14">
        <v>0.73779329000000005</v>
      </c>
      <c r="F7">
        <f t="shared" si="0"/>
        <v>0.70787656799999998</v>
      </c>
      <c r="H7">
        <v>4.0397778399999994E-2</v>
      </c>
      <c r="I7">
        <v>1.1385915999999986E-2</v>
      </c>
      <c r="J7">
        <v>4.3353719999999998E-2</v>
      </c>
      <c r="K7">
        <v>2.952322399999998E-2</v>
      </c>
    </row>
    <row r="10" spans="1:11" x14ac:dyDescent="0.35">
      <c r="A10" s="1" t="s">
        <v>22</v>
      </c>
      <c r="B10" s="3">
        <v>1</v>
      </c>
      <c r="C10" s="3">
        <v>2</v>
      </c>
      <c r="D10" s="22">
        <v>3</v>
      </c>
      <c r="E10" s="3">
        <v>4</v>
      </c>
      <c r="F10" s="3" t="s">
        <v>10</v>
      </c>
    </row>
    <row r="11" spans="1:11" x14ac:dyDescent="0.35">
      <c r="A11" t="s">
        <v>9</v>
      </c>
      <c r="B11" s="17">
        <v>15.693232899999998</v>
      </c>
      <c r="C11" s="17">
        <v>19.872645799999997</v>
      </c>
      <c r="D11" s="17">
        <v>26.383963600000005</v>
      </c>
      <c r="E11" s="17">
        <v>15.765786200000003</v>
      </c>
      <c r="F11" s="17">
        <f t="shared" si="0"/>
        <v>19.428907125000002</v>
      </c>
      <c r="H11">
        <v>3.5209444799999994</v>
      </c>
      <c r="I11">
        <v>6.3595998400000004</v>
      </c>
      <c r="J11">
        <v>10.466598560000003</v>
      </c>
      <c r="K11">
        <v>2.7051506400000003</v>
      </c>
    </row>
    <row r="12" spans="1:11" x14ac:dyDescent="0.35">
      <c r="A12" t="s">
        <v>11</v>
      </c>
      <c r="B12" s="18">
        <v>36.4983334</v>
      </c>
      <c r="C12" s="19">
        <v>11.285345400000001</v>
      </c>
      <c r="D12" s="20">
        <v>16.228650399999999</v>
      </c>
      <c r="E12" s="17">
        <v>15.765786200000003</v>
      </c>
      <c r="F12" s="17">
        <f t="shared" si="0"/>
        <v>19.944528850000005</v>
      </c>
      <c r="H12">
        <v>7.4143887199999998</v>
      </c>
      <c r="I12">
        <v>1.5285155199999998</v>
      </c>
      <c r="J12">
        <v>5.7602211199999998</v>
      </c>
      <c r="K12">
        <v>2.7051506400000003</v>
      </c>
    </row>
    <row r="13" spans="1:11" x14ac:dyDescent="0.35">
      <c r="A13" t="s">
        <v>16</v>
      </c>
      <c r="B13" s="18">
        <v>36.205333600000003</v>
      </c>
      <c r="C13" s="20">
        <v>11.3111438</v>
      </c>
      <c r="D13" s="19">
        <v>12.590582399999999</v>
      </c>
      <c r="E13" s="19">
        <v>15.191467299999999</v>
      </c>
      <c r="F13" s="17">
        <f t="shared" si="0"/>
        <v>18.824631775</v>
      </c>
      <c r="H13">
        <v>7.5314660800000013</v>
      </c>
      <c r="I13">
        <v>1.5023850400000001</v>
      </c>
      <c r="J13">
        <v>3.0007338399999997</v>
      </c>
      <c r="K13">
        <v>3.2477909599999997</v>
      </c>
    </row>
    <row r="14" spans="1:11" x14ac:dyDescent="0.35">
      <c r="A14" t="s">
        <v>17</v>
      </c>
      <c r="B14" s="18">
        <v>16.011014599999999</v>
      </c>
      <c r="C14" s="20">
        <v>14.6452706</v>
      </c>
      <c r="D14" s="19">
        <v>12.590582399999999</v>
      </c>
      <c r="E14" s="19">
        <v>15.191467299999999</v>
      </c>
      <c r="F14" s="17">
        <f t="shared" si="0"/>
        <v>14.609583725</v>
      </c>
      <c r="H14">
        <v>3.722336719999999</v>
      </c>
      <c r="I14">
        <v>4.1577637599999999</v>
      </c>
      <c r="J14">
        <v>3.0007338399999997</v>
      </c>
      <c r="K14">
        <v>3.2477909599999997</v>
      </c>
    </row>
    <row r="15" spans="1:11" x14ac:dyDescent="0.35">
      <c r="A15" t="s">
        <v>19</v>
      </c>
      <c r="B15" s="17">
        <v>15.6943816</v>
      </c>
      <c r="C15" s="20">
        <v>11.3132155</v>
      </c>
      <c r="D15" s="20">
        <v>21.78302746</v>
      </c>
      <c r="E15" s="19">
        <v>15.191467299999999</v>
      </c>
      <c r="F15" s="17">
        <f t="shared" si="0"/>
        <v>15.995522964999999</v>
      </c>
      <c r="H15">
        <v>3.5122103199999999</v>
      </c>
      <c r="I15">
        <v>1.4998989999999999</v>
      </c>
      <c r="J15">
        <v>11.583793016</v>
      </c>
      <c r="K15">
        <v>3.2477909599999997</v>
      </c>
    </row>
    <row r="16" spans="1:11" x14ac:dyDescent="0.35">
      <c r="A16" s="16" t="s">
        <v>20</v>
      </c>
      <c r="B16" s="17">
        <v>15.693232899999998</v>
      </c>
      <c r="C16" s="20">
        <v>11.3111438</v>
      </c>
      <c r="D16" s="20">
        <v>21.784756000000002</v>
      </c>
      <c r="E16" s="20">
        <v>15.191662599999997</v>
      </c>
      <c r="F16" s="17">
        <f t="shared" si="0"/>
        <v>15.995198824999999</v>
      </c>
      <c r="H16">
        <v>3.5209444799999994</v>
      </c>
      <c r="I16">
        <v>1.5023850400000001</v>
      </c>
      <c r="J16">
        <v>11.583101600000003</v>
      </c>
      <c r="K16">
        <v>3.2500411200000001</v>
      </c>
    </row>
    <row r="17" spans="2:6" x14ac:dyDescent="0.35">
      <c r="B17" s="17"/>
      <c r="C17" s="17"/>
      <c r="D17" s="17"/>
      <c r="E17" s="17"/>
      <c r="F17" s="17"/>
    </row>
    <row r="18" spans="2:6" x14ac:dyDescent="0.35">
      <c r="B18" s="17"/>
      <c r="C18" s="17">
        <f>C11-C16</f>
        <v>8.5615019999999973</v>
      </c>
      <c r="D18" s="17">
        <f t="shared" ref="D18:E18" si="1">D11-D16</f>
        <v>4.5992076000000033</v>
      </c>
      <c r="E18" s="17">
        <f t="shared" si="1"/>
        <v>0.5741236000000054</v>
      </c>
      <c r="F18" s="17">
        <f>F11-F16</f>
        <v>3.4337083000000028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EF933-4E2B-4B38-89DA-89A0422896B5}">
  <dimension ref="A1:F4"/>
  <sheetViews>
    <sheetView workbookViewId="0">
      <selection activeCell="F2" sqref="F2"/>
    </sheetView>
  </sheetViews>
  <sheetFormatPr defaultRowHeight="14.5" x14ac:dyDescent="0.35"/>
  <cols>
    <col min="1" max="1" width="12.81640625" customWidth="1"/>
    <col min="2" max="2" width="24.36328125" customWidth="1"/>
    <col min="3" max="3" width="32.453125" customWidth="1"/>
    <col min="4" max="4" width="31.36328125" customWidth="1"/>
    <col min="5" max="5" width="25.26953125" customWidth="1"/>
    <col min="6" max="6" width="27.26953125" customWidth="1"/>
  </cols>
  <sheetData>
    <row r="1" spans="1:6" x14ac:dyDescent="0.35">
      <c r="B1" t="s">
        <v>11</v>
      </c>
      <c r="C1" t="s">
        <v>16</v>
      </c>
      <c r="D1" t="s">
        <v>17</v>
      </c>
      <c r="E1" t="s">
        <v>19</v>
      </c>
      <c r="F1" t="s">
        <v>20</v>
      </c>
    </row>
    <row r="2" spans="1:6" x14ac:dyDescent="0.35">
      <c r="A2" t="s">
        <v>2</v>
      </c>
      <c r="B2" t="s">
        <v>28</v>
      </c>
      <c r="C2" t="s">
        <v>29</v>
      </c>
      <c r="D2" t="s">
        <v>18</v>
      </c>
      <c r="E2" t="s">
        <v>35</v>
      </c>
      <c r="F2" t="s">
        <v>30</v>
      </c>
    </row>
    <row r="3" spans="1:6" x14ac:dyDescent="0.35">
      <c r="A3" t="s">
        <v>3</v>
      </c>
      <c r="B3" t="s">
        <v>31</v>
      </c>
      <c r="C3" t="s">
        <v>33</v>
      </c>
      <c r="D3" t="s">
        <v>33</v>
      </c>
      <c r="E3" t="s">
        <v>32</v>
      </c>
      <c r="F3" t="s">
        <v>34</v>
      </c>
    </row>
    <row r="4" spans="1:6" x14ac:dyDescent="0.35">
      <c r="A4" t="s">
        <v>4</v>
      </c>
      <c r="B4" t="s">
        <v>28</v>
      </c>
      <c r="C4" t="s">
        <v>29</v>
      </c>
      <c r="D4" t="s">
        <v>30</v>
      </c>
      <c r="F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Results</vt:lpstr>
      <vt:lpstr>Comparison</vt:lpstr>
      <vt:lpstr>Combinations post-processing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Lotte Huisman</dc:creator>
  <cp:lastModifiedBy>Lotte Huisman</cp:lastModifiedBy>
  <dcterms:created xsi:type="dcterms:W3CDTF">2025-10-11T12:06:40Z</dcterms:created>
  <dcterms:modified xsi:type="dcterms:W3CDTF">2025-10-13T16:47:20Z</dcterms:modified>
</cp:coreProperties>
</file>