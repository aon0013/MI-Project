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fa4b5734af96015/Desktop/"/>
    </mc:Choice>
  </mc:AlternateContent>
  <xr:revisionPtr revIDLastSave="218" documentId="8_{8F70EBA6-C817-4C48-ADD4-370053028439}" xr6:coauthVersionLast="47" xr6:coauthVersionMax="47" xr10:uidLastSave="{44D4C1ED-C557-41B0-865D-5D7A6C3230D8}"/>
  <bookViews>
    <workbookView xWindow="-120" yWindow="-120" windowWidth="29040" windowHeight="16440" xr2:uid="{13808FD9-11C6-47CF-A8FE-55260CDFFD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2" i="1" l="1"/>
  <c r="L22" i="1"/>
  <c r="M21" i="1"/>
  <c r="M20" i="1"/>
  <c r="M19" i="1"/>
  <c r="M18" i="1"/>
  <c r="L21" i="1"/>
  <c r="L20" i="1"/>
  <c r="L19" i="1"/>
  <c r="L18" i="1"/>
  <c r="H24" i="1"/>
  <c r="G24" i="1"/>
  <c r="H20" i="1"/>
  <c r="G20" i="1"/>
  <c r="H16" i="1"/>
  <c r="G16" i="1"/>
  <c r="H12" i="1"/>
  <c r="G12" i="1"/>
  <c r="H8" i="1"/>
  <c r="G8" i="1"/>
  <c r="M12" i="1"/>
  <c r="M11" i="1"/>
  <c r="M10" i="1"/>
  <c r="M9" i="1"/>
  <c r="M8" i="1"/>
  <c r="H23" i="1"/>
  <c r="H19" i="1"/>
  <c r="L12" i="1"/>
  <c r="L11" i="1"/>
  <c r="L10" i="1"/>
  <c r="L9" i="1"/>
  <c r="L8" i="1"/>
  <c r="H15" i="1"/>
  <c r="H11" i="1"/>
  <c r="H7" i="1"/>
  <c r="G23" i="1"/>
  <c r="G19" i="1"/>
  <c r="G15" i="1"/>
  <c r="G11" i="1"/>
  <c r="G7" i="1"/>
</calcChain>
</file>

<file path=xl/sharedStrings.xml><?xml version="1.0" encoding="utf-8"?>
<sst xmlns="http://schemas.openxmlformats.org/spreadsheetml/2006/main" count="60" uniqueCount="21">
  <si>
    <t>fold_1</t>
  </si>
  <si>
    <t>mean</t>
  </si>
  <si>
    <t>std</t>
  </si>
  <si>
    <t>dice</t>
  </si>
  <si>
    <t>Base</t>
  </si>
  <si>
    <t>Dice</t>
  </si>
  <si>
    <t>3d_hd95</t>
  </si>
  <si>
    <t>fold_2</t>
  </si>
  <si>
    <t>total</t>
  </si>
  <si>
    <t>fold_3</t>
  </si>
  <si>
    <t>hd95</t>
  </si>
  <si>
    <t>fold_4</t>
  </si>
  <si>
    <t>fold_5</t>
  </si>
  <si>
    <t>2.5D</t>
  </si>
  <si>
    <t xml:space="preserve">0.9982221 </t>
  </si>
  <si>
    <t xml:space="preserve"> 0.9985273 </t>
  </si>
  <si>
    <t>0.9984203</t>
  </si>
  <si>
    <t xml:space="preserve">0.9985686  </t>
  </si>
  <si>
    <t>0.998507</t>
  </si>
  <si>
    <t>BASELINE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</si>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</sst>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0"/>
    <numFmt numFmtId="165" formatCode="#,##0.00000"/>
    <numFmt numFmtId="166" formatCode="#,##0.000000"/>
  </numFmts>
  <fonts count="2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1" fillId="0" borderId="0" xfId="1"/>
    <xf numFmtId="164" fontId="1" fillId="0" borderId="0" xfId="1" applyNumberFormat="1"/>
    <xf numFmtId="165" fontId="1" fillId="0" borderId="0" xfId="1" applyNumberFormat="1"/>
    <xf numFmtId="166" fontId="1" fillId="0" borderId="0" xfId="1" applyNumberFormat="1"/>
  </cellXfs>
  <cellStyles count="2">
    <cellStyle name="Normal" xfId="0" builtinId="0"/>
    <cellStyle name="Normal 2" xfId="1" xr:uid="{56B24480-3849-4BD7-97B1-3CD1C5F9DCA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54C13-BBA5-4088-B8E1-13CE2A141F59}">
  <dimension ref="A5:M49"/>
  <sheetViews>
    <sheetView tabSelected="1" topLeftCell="A15" workbookViewId="0">
      <selection activeCell="J42" sqref="J42:M47"/>
    </sheetView>
  </sheetViews>
  <sheetFormatPr defaultRowHeight="15" x14ac:dyDescent="0.25"/>
  <cols>
    <col min="2" max="2" width="11.140625" bestFit="1" customWidth="1"/>
    <col min="3" max="3" width="14.28515625" bestFit="1" customWidth="1"/>
    <col min="4" max="6" width="11.85546875" bestFit="1" customWidth="1"/>
    <col min="7" max="7" width="13.28515625" bestFit="1" customWidth="1"/>
    <col min="8" max="8" width="13.140625" bestFit="1" customWidth="1"/>
    <col min="9" max="9" width="11" customWidth="1"/>
    <col min="12" max="12" width="11.85546875" bestFit="1" customWidth="1"/>
  </cols>
  <sheetData>
    <row r="5" spans="1:13" ht="15.75" x14ac:dyDescent="0.25">
      <c r="A5" s="1" t="s">
        <v>13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ht="15.75" x14ac:dyDescent="0.25">
      <c r="A6" s="1" t="s">
        <v>0</v>
      </c>
      <c r="B6" s="1">
        <v>0</v>
      </c>
      <c r="C6" s="1">
        <v>1</v>
      </c>
      <c r="D6" s="1">
        <v>2</v>
      </c>
      <c r="E6" s="1">
        <v>3</v>
      </c>
      <c r="F6" s="1">
        <v>4</v>
      </c>
      <c r="G6" s="1" t="s">
        <v>1</v>
      </c>
      <c r="H6" s="1" t="s">
        <v>2</v>
      </c>
      <c r="I6" s="1"/>
      <c r="J6" s="1"/>
      <c r="K6" s="1"/>
      <c r="L6" s="1"/>
      <c r="M6" s="1"/>
    </row>
    <row r="7" spans="1:13" ht="15.75" x14ac:dyDescent="0.25">
      <c r="A7" s="1" t="s">
        <v>3</v>
      </c>
      <c r="B7" s="1" t="s">
        <v>14</v>
      </c>
      <c r="C7" s="2">
        <v>0.46626531999999998</v>
      </c>
      <c r="D7" s="2">
        <v>0.85353900000000005</v>
      </c>
      <c r="E7" s="2">
        <v>0.72774779999999994</v>
      </c>
      <c r="F7" s="2">
        <v>0.7407823</v>
      </c>
      <c r="G7" s="2">
        <f>AVERAGE(C7:F7)</f>
        <v>0.697083605</v>
      </c>
      <c r="H7" s="1">
        <f>STDEV(C7:G7)</f>
        <v>0.14195530996994088</v>
      </c>
      <c r="I7" s="1"/>
      <c r="J7" s="1" t="s">
        <v>13</v>
      </c>
      <c r="K7" s="1" t="s">
        <v>5</v>
      </c>
      <c r="L7" s="1" t="s">
        <v>1</v>
      </c>
      <c r="M7" s="1" t="s">
        <v>2</v>
      </c>
    </row>
    <row r="8" spans="1:13" ht="15.75" x14ac:dyDescent="0.25">
      <c r="A8" s="1" t="s">
        <v>6</v>
      </c>
      <c r="B8" s="1"/>
      <c r="C8" s="4">
        <v>24.196774000000001</v>
      </c>
      <c r="D8" s="4">
        <v>12.706821</v>
      </c>
      <c r="E8" s="3">
        <v>34.310580000000002</v>
      </c>
      <c r="F8" s="4">
        <v>22.192167000000001</v>
      </c>
      <c r="G8" s="4">
        <f>AVERAGE(C8:F8)</f>
        <v>23.351585500000002</v>
      </c>
      <c r="H8" s="4">
        <f>STDEV(C8:G8)</f>
        <v>7.6725023064539588</v>
      </c>
      <c r="I8" s="1"/>
      <c r="J8" s="1"/>
      <c r="K8" s="1">
        <v>1</v>
      </c>
      <c r="L8" s="2">
        <f>AVERAGE(C7,C11,C15,C19,C23)</f>
        <v>0.48986865400000001</v>
      </c>
      <c r="M8" s="1">
        <f>STDEV(C7,C11,C15,C19,C23)</f>
        <v>3.1585671278114076E-2</v>
      </c>
    </row>
    <row r="9" spans="1:13" ht="15.75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>
        <v>2</v>
      </c>
      <c r="L9" s="2">
        <f>AVERAGE(D7,D11,D15,D19,D23)</f>
        <v>0.87754376999999995</v>
      </c>
      <c r="M9" s="1">
        <f>STDEV(D7,D11,D15,D19,D23)</f>
        <v>2.5696940153051292E-2</v>
      </c>
    </row>
    <row r="10" spans="1:13" ht="15.75" x14ac:dyDescent="0.25">
      <c r="A10" s="1" t="s">
        <v>7</v>
      </c>
      <c r="B10" s="1">
        <v>0</v>
      </c>
      <c r="C10" s="1">
        <v>1</v>
      </c>
      <c r="D10" s="1">
        <v>2</v>
      </c>
      <c r="E10" s="1">
        <v>3</v>
      </c>
      <c r="F10" s="1">
        <v>4</v>
      </c>
      <c r="G10" s="1"/>
      <c r="H10" s="1"/>
      <c r="I10" s="1"/>
      <c r="J10" s="1"/>
      <c r="K10" s="1">
        <v>3</v>
      </c>
      <c r="L10" s="2">
        <f>AVERAGE(E7,E11,E15,E19,E23)</f>
        <v>0.747624658</v>
      </c>
      <c r="M10" s="1">
        <f>STDEV(E7,E11,E15,E19,E23)</f>
        <v>4.4027962019974533E-2</v>
      </c>
    </row>
    <row r="11" spans="1:13" ht="15.75" x14ac:dyDescent="0.25">
      <c r="A11" s="1" t="s">
        <v>3</v>
      </c>
      <c r="B11" s="1" t="s">
        <v>15</v>
      </c>
      <c r="C11" s="1">
        <v>0.50052220000000003</v>
      </c>
      <c r="D11" s="1">
        <v>0.84777639999999999</v>
      </c>
      <c r="E11" s="1">
        <v>0.7344157</v>
      </c>
      <c r="F11" s="1">
        <v>0.75595380000000001</v>
      </c>
      <c r="G11" s="1">
        <f>AVERAGE(C11:F11)</f>
        <v>0.70966702500000001</v>
      </c>
      <c r="H11" s="1">
        <f>STDEV(C11:G11)</f>
        <v>0.12803390150788971</v>
      </c>
      <c r="I11" s="1"/>
      <c r="J11" s="1"/>
      <c r="K11" s="1">
        <v>4</v>
      </c>
      <c r="L11" s="2">
        <f>AVERAGE(F7,F11,F15,F19,F23)</f>
        <v>0.73404400600000008</v>
      </c>
      <c r="M11" s="1">
        <f>STDEV(F7,F11,F15,F19,F23)</f>
        <v>4.7312098157571508E-2</v>
      </c>
    </row>
    <row r="12" spans="1:13" ht="15.75" x14ac:dyDescent="0.25">
      <c r="A12" s="1" t="s">
        <v>6</v>
      </c>
      <c r="B12" s="1"/>
      <c r="C12" s="1">
        <v>10.973317</v>
      </c>
      <c r="D12" s="4">
        <v>23.575706</v>
      </c>
      <c r="E12" s="4">
        <v>22.423677000000001</v>
      </c>
      <c r="F12" s="4">
        <v>15.072868</v>
      </c>
      <c r="G12" s="1">
        <f>AVERAGE(C12:F12)</f>
        <v>18.011392000000001</v>
      </c>
      <c r="H12" s="1">
        <f>STDEV(C12:F12)</f>
        <v>6.0166234222644128</v>
      </c>
      <c r="I12" s="1"/>
      <c r="J12" s="1"/>
      <c r="K12" s="1" t="s">
        <v>8</v>
      </c>
      <c r="L12" s="2">
        <f>AVERAGE(L8:L11)</f>
        <v>0.71227027199999993</v>
      </c>
      <c r="M12" s="1">
        <f>AVERAGE(M8:M11)</f>
        <v>3.715566790217785E-2</v>
      </c>
    </row>
    <row r="14" spans="1:13" ht="15.75" x14ac:dyDescent="0.25">
      <c r="A14" s="1" t="s">
        <v>9</v>
      </c>
      <c r="B14" s="1">
        <v>0</v>
      </c>
      <c r="C14" s="1">
        <v>1</v>
      </c>
      <c r="D14" s="1">
        <v>2</v>
      </c>
      <c r="E14" s="1">
        <v>3</v>
      </c>
      <c r="F14" s="1">
        <v>4</v>
      </c>
      <c r="G14" s="1"/>
      <c r="H14" s="1"/>
      <c r="I14" s="1"/>
      <c r="J14" s="1"/>
      <c r="K14" s="1"/>
      <c r="L14" s="1"/>
      <c r="M14" s="1"/>
    </row>
    <row r="15" spans="1:13" ht="15.75" x14ac:dyDescent="0.25">
      <c r="A15" s="1" t="s">
        <v>3</v>
      </c>
      <c r="B15" s="1" t="s">
        <v>16</v>
      </c>
      <c r="C15" s="1">
        <v>0.53590740000000003</v>
      </c>
      <c r="D15" s="1">
        <v>0.88395345000000003</v>
      </c>
      <c r="E15" s="1">
        <v>0.81304175000000001</v>
      </c>
      <c r="F15" s="1">
        <v>0.79606160000000004</v>
      </c>
      <c r="G15" s="1">
        <f>AVERAGE(C15:F15)</f>
        <v>0.75724104999999997</v>
      </c>
      <c r="H15" s="1">
        <f>STDEV(C15:G15)</f>
        <v>0.13197099128110995</v>
      </c>
      <c r="I15" s="1"/>
      <c r="J15" s="1"/>
      <c r="K15" s="1"/>
      <c r="L15" s="1"/>
      <c r="M15" s="1"/>
    </row>
    <row r="16" spans="1:13" ht="15.75" x14ac:dyDescent="0.25">
      <c r="A16" s="1" t="s">
        <v>6</v>
      </c>
      <c r="B16" s="1"/>
      <c r="C16" s="1">
        <v>12.924617</v>
      </c>
      <c r="D16" s="4">
        <v>23.759264000000002</v>
      </c>
      <c r="E16" s="4">
        <v>13.391297</v>
      </c>
      <c r="F16" s="4">
        <v>16.120749</v>
      </c>
      <c r="G16" s="1">
        <f>AVERAGE(C16:F16)</f>
        <v>16.548981749999999</v>
      </c>
      <c r="H16" s="1">
        <f>STDEV(C16:F16)</f>
        <v>5.0092762695577386</v>
      </c>
      <c r="I16" s="1"/>
      <c r="J16" s="1"/>
      <c r="K16" s="1"/>
      <c r="L16" s="1"/>
      <c r="M16" s="1"/>
    </row>
    <row r="17" spans="1:13" ht="15.75" x14ac:dyDescent="0.25">
      <c r="A17" s="1"/>
      <c r="B17" s="1"/>
      <c r="C17" s="1"/>
      <c r="D17" s="1"/>
      <c r="E17" s="1"/>
      <c r="F17" s="1"/>
      <c r="G17" s="1"/>
      <c r="H17" s="1"/>
      <c r="I17" s="1"/>
      <c r="J17" s="1" t="s">
        <v>13</v>
      </c>
      <c r="K17" s="1" t="s">
        <v>10</v>
      </c>
      <c r="L17" s="1" t="s">
        <v>1</v>
      </c>
      <c r="M17" s="1" t="s">
        <v>2</v>
      </c>
    </row>
    <row r="18" spans="1:13" ht="15.75" x14ac:dyDescent="0.25">
      <c r="A18" s="1" t="s">
        <v>11</v>
      </c>
      <c r="B18" s="1">
        <v>0</v>
      </c>
      <c r="C18" s="1">
        <v>1</v>
      </c>
      <c r="D18" s="1">
        <v>2</v>
      </c>
      <c r="E18" s="1">
        <v>3</v>
      </c>
      <c r="F18" s="1">
        <v>4</v>
      </c>
      <c r="G18" s="1"/>
      <c r="H18" s="1"/>
      <c r="I18" s="1"/>
      <c r="J18" s="1"/>
      <c r="K18" s="1">
        <v>1</v>
      </c>
      <c r="L18" s="4">
        <f>AVERAGE(C8,C12,C16,C20,C24)</f>
        <v>16.4775998</v>
      </c>
      <c r="M18" s="1">
        <f>STDEV(C8,C12,C16,C20,C24)</f>
        <v>5.1011332387807533</v>
      </c>
    </row>
    <row r="19" spans="1:13" ht="15.75" x14ac:dyDescent="0.25">
      <c r="A19" s="1" t="s">
        <v>3</v>
      </c>
      <c r="B19" s="1" t="s">
        <v>17</v>
      </c>
      <c r="C19" s="1">
        <v>0.45525490000000002</v>
      </c>
      <c r="D19" s="1">
        <v>0.89836839999999996</v>
      </c>
      <c r="E19" s="1">
        <v>0.76597154000000001</v>
      </c>
      <c r="F19" s="1">
        <v>0.67334919999999998</v>
      </c>
      <c r="G19" s="1">
        <f>AVERAGE(C19:F19)</f>
        <v>0.69823601000000002</v>
      </c>
      <c r="H19" s="1">
        <f>STDEV(C19:G19)</f>
        <v>0.16147774512320692</v>
      </c>
      <c r="I19" s="1"/>
      <c r="J19" s="1"/>
      <c r="K19" s="1">
        <v>2</v>
      </c>
      <c r="L19" s="4">
        <f>AVERAGE(D8,D12,D16,D20,D24)</f>
        <v>15.687317799999999</v>
      </c>
      <c r="M19" s="1">
        <f>STDEV(D8,D12,D16,D20,D24)</f>
        <v>7.4249273826143076</v>
      </c>
    </row>
    <row r="20" spans="1:13" ht="15.75" x14ac:dyDescent="0.25">
      <c r="A20" s="1" t="s">
        <v>6</v>
      </c>
      <c r="B20" s="1"/>
      <c r="C20" s="1">
        <v>17.731680000000001</v>
      </c>
      <c r="D20" s="4">
        <v>9.1144850000000002</v>
      </c>
      <c r="E20" s="4">
        <v>25.729773999999999</v>
      </c>
      <c r="F20" s="4">
        <v>16.513162999999999</v>
      </c>
      <c r="G20" s="1">
        <f>AVERAGE(C20:F20)</f>
        <v>17.272275499999999</v>
      </c>
      <c r="H20" s="1">
        <f>STDEV(C20:F20)</f>
        <v>6.8035806994471457</v>
      </c>
      <c r="I20" s="1"/>
      <c r="J20" s="1"/>
      <c r="K20" s="1">
        <v>3</v>
      </c>
      <c r="L20" s="3">
        <f>AVERAGE(E8,E12,E16,E20,E24)</f>
        <v>21.873435099999998</v>
      </c>
      <c r="M20" s="1">
        <f>STDEV(E8,E12,E16,E20,E24)</f>
        <v>8.8277899706510752</v>
      </c>
    </row>
    <row r="21" spans="1:13" ht="15.75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>
        <v>4</v>
      </c>
      <c r="L21" s="4">
        <f>AVERAGE(F8,F12,F16,F20,F24)</f>
        <v>16.550037799999998</v>
      </c>
      <c r="M21" s="1">
        <f>STDEV(F8,F12,F16,F20,F24)</f>
        <v>3.4598551820236323</v>
      </c>
    </row>
    <row r="22" spans="1:13" ht="15.75" x14ac:dyDescent="0.25">
      <c r="A22" s="1" t="s">
        <v>12</v>
      </c>
      <c r="B22" s="1">
        <v>0</v>
      </c>
      <c r="C22" s="1">
        <v>1</v>
      </c>
      <c r="D22" s="1">
        <v>2</v>
      </c>
      <c r="E22" s="1">
        <v>3</v>
      </c>
      <c r="F22" s="1">
        <v>4</v>
      </c>
      <c r="G22" s="1"/>
      <c r="H22" s="1"/>
      <c r="I22" s="1"/>
      <c r="J22" s="1"/>
      <c r="K22" s="1" t="s">
        <v>8</v>
      </c>
      <c r="L22" s="4">
        <f>AVERAGE(L18:L21)</f>
        <v>17.647097624999997</v>
      </c>
      <c r="M22" s="1">
        <f>AVERAGE(M18:M21)</f>
        <v>6.2034264435174418</v>
      </c>
    </row>
    <row r="23" spans="1:13" ht="15.75" x14ac:dyDescent="0.25">
      <c r="A23" s="1" t="s">
        <v>3</v>
      </c>
      <c r="B23" s="1" t="s">
        <v>18</v>
      </c>
      <c r="C23" s="1">
        <v>0.49139345000000001</v>
      </c>
      <c r="D23" s="1">
        <v>0.90408160000000004</v>
      </c>
      <c r="E23" s="1">
        <v>0.69694650000000002</v>
      </c>
      <c r="F23" s="1">
        <v>0.70407313000000005</v>
      </c>
      <c r="G23" s="1">
        <f>AVERAGE(C23:F23)</f>
        <v>0.69912367000000009</v>
      </c>
      <c r="H23" s="1">
        <f>STDEV(C23:G23)</f>
        <v>0.1459356318678148</v>
      </c>
      <c r="I23" s="1"/>
      <c r="J23" s="1"/>
      <c r="K23" s="1"/>
      <c r="L23" s="1"/>
      <c r="M23" s="1"/>
    </row>
    <row r="24" spans="1:13" ht="15.75" x14ac:dyDescent="0.25">
      <c r="A24" s="1" t="s">
        <v>6</v>
      </c>
      <c r="B24" s="1"/>
      <c r="C24" s="1">
        <v>16.561610999999999</v>
      </c>
      <c r="D24" s="4">
        <v>9.2803129999999996</v>
      </c>
      <c r="E24" s="4">
        <v>13.5118475</v>
      </c>
      <c r="F24" s="4">
        <v>12.851241999999999</v>
      </c>
      <c r="G24" s="1">
        <f>AVERAGE(C24:F24)</f>
        <v>13.051253375</v>
      </c>
      <c r="H24" s="1">
        <f>STDEV(C24:F24)</f>
        <v>2.9885756621571797</v>
      </c>
      <c r="I24" s="1"/>
      <c r="J24" s="1"/>
      <c r="K24" s="1"/>
      <c r="L24" s="1"/>
      <c r="M24" s="1"/>
    </row>
    <row r="30" spans="1:13" ht="15.75" x14ac:dyDescent="0.25">
      <c r="A30" s="1" t="s">
        <v>19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3" ht="15.75" x14ac:dyDescent="0.25">
      <c r="A31" s="1" t="s">
        <v>0</v>
      </c>
      <c r="B31" s="1">
        <v>0</v>
      </c>
      <c r="C31" s="1">
        <v>1</v>
      </c>
      <c r="D31" s="1">
        <v>2</v>
      </c>
      <c r="E31" s="1">
        <v>3</v>
      </c>
      <c r="F31" s="1">
        <v>4</v>
      </c>
      <c r="G31" s="1" t="s">
        <v>1</v>
      </c>
      <c r="H31" s="1" t="s">
        <v>2</v>
      </c>
      <c r="I31" s="1"/>
      <c r="J31" s="1"/>
      <c r="K31" s="1"/>
      <c r="L31" s="1"/>
      <c r="M31" s="1"/>
    </row>
    <row r="32" spans="1:13" ht="15.75" x14ac:dyDescent="0.25">
      <c r="A32" s="1" t="s">
        <v>3</v>
      </c>
      <c r="B32" s="1">
        <v>0.99824179999999996</v>
      </c>
      <c r="C32" s="1">
        <v>0.42184490000000002</v>
      </c>
      <c r="D32" s="1">
        <v>0.85929215000000003</v>
      </c>
      <c r="E32" s="1">
        <v>0.73278209999999999</v>
      </c>
      <c r="F32" s="1">
        <v>0.74217224000000004</v>
      </c>
      <c r="G32" s="1">
        <v>0.68902284749999998</v>
      </c>
      <c r="H32" s="1">
        <v>0.18718566639091022</v>
      </c>
      <c r="I32" s="1"/>
      <c r="J32" s="1" t="s">
        <v>4</v>
      </c>
      <c r="K32" s="1" t="s">
        <v>5</v>
      </c>
      <c r="L32" s="1" t="s">
        <v>1</v>
      </c>
      <c r="M32" s="1" t="s">
        <v>2</v>
      </c>
    </row>
    <row r="33" spans="1:13" ht="15.75" x14ac:dyDescent="0.25">
      <c r="A33" s="1" t="s">
        <v>6</v>
      </c>
      <c r="B33" s="1">
        <v>2.2920866000000002</v>
      </c>
      <c r="C33" s="1">
        <v>20.774967</v>
      </c>
      <c r="D33" s="1">
        <v>14.034043</v>
      </c>
      <c r="E33" s="1">
        <v>52.550460000000001</v>
      </c>
      <c r="F33" s="1">
        <v>14.60328</v>
      </c>
      <c r="G33" s="1">
        <v>25.4906875</v>
      </c>
      <c r="H33" s="1">
        <v>18.296262394783561</v>
      </c>
      <c r="I33" s="1"/>
      <c r="J33" s="1"/>
      <c r="K33" s="1">
        <v>1</v>
      </c>
      <c r="L33" s="1">
        <v>0.47175779200000001</v>
      </c>
      <c r="M33" s="1">
        <v>4.8935176930571832E-2</v>
      </c>
    </row>
    <row r="34" spans="1:13" ht="15.7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>
        <v>2</v>
      </c>
      <c r="L34" s="1">
        <v>0.88256820999999996</v>
      </c>
      <c r="M34" s="1">
        <v>1.4256902805544747E-2</v>
      </c>
    </row>
    <row r="35" spans="1:13" ht="15.75" x14ac:dyDescent="0.25">
      <c r="A35" s="1" t="s">
        <v>7</v>
      </c>
      <c r="B35" s="1">
        <v>0</v>
      </c>
      <c r="C35" s="1">
        <v>1</v>
      </c>
      <c r="D35" s="1">
        <v>2</v>
      </c>
      <c r="E35" s="1">
        <v>3</v>
      </c>
      <c r="F35" s="1">
        <v>4</v>
      </c>
      <c r="G35" s="1"/>
      <c r="H35" s="1"/>
      <c r="I35" s="1"/>
      <c r="J35" s="1"/>
      <c r="K35" s="1">
        <v>3</v>
      </c>
      <c r="L35" s="1">
        <v>0.73432746199999999</v>
      </c>
      <c r="M35" s="1">
        <v>6.2510511623615928E-2</v>
      </c>
    </row>
    <row r="36" spans="1:13" ht="15.75" x14ac:dyDescent="0.25">
      <c r="A36" s="1" t="s">
        <v>3</v>
      </c>
      <c r="B36" s="1">
        <v>0.99862366999999996</v>
      </c>
      <c r="C36" s="1">
        <v>0.50920929999999998</v>
      </c>
      <c r="D36" s="1">
        <v>0.88073319999999999</v>
      </c>
      <c r="E36" s="1">
        <v>0.72177374000000005</v>
      </c>
      <c r="F36" s="1">
        <v>0.74038440000000005</v>
      </c>
      <c r="G36" s="1">
        <v>0.71302516000000005</v>
      </c>
      <c r="H36" s="1">
        <v>0.15328835260555529</v>
      </c>
      <c r="I36" s="1"/>
      <c r="J36" s="1"/>
      <c r="K36" s="1">
        <v>4</v>
      </c>
      <c r="L36" s="1">
        <v>0.73562516800000011</v>
      </c>
      <c r="M36" s="1">
        <v>4.0826756455896888E-2</v>
      </c>
    </row>
    <row r="37" spans="1:13" ht="15.75" x14ac:dyDescent="0.25">
      <c r="A37" s="1" t="s">
        <v>6</v>
      </c>
      <c r="B37" s="1">
        <v>1.2886031</v>
      </c>
      <c r="C37" s="1">
        <v>12.959455500000001</v>
      </c>
      <c r="D37" s="1">
        <v>24.686657</v>
      </c>
      <c r="E37" s="1">
        <v>24.194493999999999</v>
      </c>
      <c r="F37" s="1">
        <v>11.692049000000001</v>
      </c>
      <c r="G37" s="1">
        <v>18.383163875000001</v>
      </c>
      <c r="H37" s="1">
        <v>7.0164856874398831</v>
      </c>
      <c r="I37" s="1"/>
      <c r="J37" s="1"/>
      <c r="K37" s="1" t="s">
        <v>8</v>
      </c>
      <c r="L37" s="1">
        <v>0.7060696580000001</v>
      </c>
      <c r="M37" s="1">
        <v>3.3862689194094742E-2</v>
      </c>
    </row>
    <row r="39" spans="1:13" ht="15.75" x14ac:dyDescent="0.25">
      <c r="A39" s="1" t="s">
        <v>9</v>
      </c>
      <c r="B39" s="1">
        <v>0</v>
      </c>
      <c r="C39" s="1">
        <v>1</v>
      </c>
      <c r="D39" s="1">
        <v>2</v>
      </c>
      <c r="E39" s="1">
        <v>3</v>
      </c>
      <c r="F39" s="1">
        <v>4</v>
      </c>
      <c r="G39" s="1"/>
      <c r="H39" s="1"/>
      <c r="I39" s="1"/>
      <c r="J39" s="1"/>
      <c r="K39" s="1"/>
      <c r="L39" s="1"/>
      <c r="M39" s="1"/>
    </row>
    <row r="40" spans="1:13" ht="15.75" x14ac:dyDescent="0.25">
      <c r="A40" s="1" t="s">
        <v>3</v>
      </c>
      <c r="B40" s="1">
        <v>0.99842595999999995</v>
      </c>
      <c r="C40" s="1">
        <v>0.53530073</v>
      </c>
      <c r="D40" s="1">
        <v>0.88816859999999997</v>
      </c>
      <c r="E40" s="1">
        <v>0.81505084000000005</v>
      </c>
      <c r="F40" s="1">
        <v>0.79700479999999996</v>
      </c>
      <c r="G40" s="1">
        <v>0.7588812425</v>
      </c>
      <c r="H40" s="1">
        <v>0.15417727426446826</v>
      </c>
      <c r="I40" s="1"/>
      <c r="J40" s="1"/>
      <c r="K40" s="1"/>
      <c r="L40" s="1"/>
      <c r="M40" s="1"/>
    </row>
    <row r="41" spans="1:13" ht="15.75" x14ac:dyDescent="0.25">
      <c r="A41" s="1" t="s">
        <v>6</v>
      </c>
      <c r="B41" s="1">
        <v>1.6780927999999999</v>
      </c>
      <c r="C41" s="1">
        <v>12.035605</v>
      </c>
      <c r="D41" s="1">
        <v>25.423313</v>
      </c>
      <c r="E41" s="1">
        <v>8.6415120000000005</v>
      </c>
      <c r="F41" s="1">
        <v>14.239153</v>
      </c>
      <c r="G41" s="1">
        <v>15.084895749999999</v>
      </c>
      <c r="H41" s="1">
        <v>7.2666709540218557</v>
      </c>
      <c r="I41" s="1"/>
      <c r="J41" s="1"/>
      <c r="K41" s="1"/>
      <c r="L41" s="1"/>
      <c r="M41" s="1"/>
    </row>
    <row r="42" spans="1:13" ht="15.75" x14ac:dyDescent="0.25">
      <c r="A42" s="1"/>
      <c r="B42" s="1"/>
      <c r="C42" s="1"/>
      <c r="D42" s="1"/>
      <c r="E42" s="1"/>
      <c r="F42" s="1"/>
      <c r="G42" s="1"/>
      <c r="H42" s="1"/>
      <c r="I42" s="1"/>
      <c r="J42" s="1" t="s">
        <v>20</v>
      </c>
      <c r="K42" s="1" t="s">
        <v>10</v>
      </c>
      <c r="L42" s="1" t="s">
        <v>1</v>
      </c>
      <c r="M42" s="1" t="s">
        <v>2</v>
      </c>
    </row>
    <row r="43" spans="1:13" ht="15.75" x14ac:dyDescent="0.25">
      <c r="A43" s="1" t="s">
        <v>11</v>
      </c>
      <c r="B43" s="1">
        <v>0</v>
      </c>
      <c r="C43" s="1">
        <v>1</v>
      </c>
      <c r="D43" s="1">
        <v>2</v>
      </c>
      <c r="E43" s="1">
        <v>3</v>
      </c>
      <c r="F43" s="1">
        <v>4</v>
      </c>
      <c r="G43" s="1"/>
      <c r="H43" s="1"/>
      <c r="I43" s="1"/>
      <c r="J43" s="1"/>
      <c r="K43" s="1">
        <v>1</v>
      </c>
      <c r="L43" s="1">
        <v>15.693232899999998</v>
      </c>
      <c r="M43" s="1">
        <v>4.0722099822980482</v>
      </c>
    </row>
    <row r="44" spans="1:13" ht="15.75" x14ac:dyDescent="0.25">
      <c r="A44" s="1" t="s">
        <v>3</v>
      </c>
      <c r="B44" s="1">
        <v>0.9985657</v>
      </c>
      <c r="C44" s="1">
        <v>0.45929995000000001</v>
      </c>
      <c r="D44" s="1">
        <v>0.89712965</v>
      </c>
      <c r="E44" s="1">
        <v>0.75904380000000005</v>
      </c>
      <c r="F44" s="1">
        <v>0.68946640000000003</v>
      </c>
      <c r="G44" s="1">
        <v>0.70123495000000002</v>
      </c>
      <c r="H44" s="1">
        <v>0.18292770850850251</v>
      </c>
      <c r="I44" s="1"/>
      <c r="J44" s="1"/>
      <c r="K44" s="1">
        <v>2</v>
      </c>
      <c r="L44" s="1">
        <v>19.872645799999997</v>
      </c>
      <c r="M44" s="1">
        <v>7.414751981241003</v>
      </c>
    </row>
    <row r="45" spans="1:13" ht="15.75" x14ac:dyDescent="0.25">
      <c r="A45" s="1" t="s">
        <v>6</v>
      </c>
      <c r="B45" s="1">
        <v>1.6410826000000001</v>
      </c>
      <c r="C45" s="1">
        <v>13.282277000000001</v>
      </c>
      <c r="D45" s="1">
        <v>9.8122489999999996</v>
      </c>
      <c r="E45" s="1">
        <v>24.313343</v>
      </c>
      <c r="F45" s="1">
        <v>19.063058999999999</v>
      </c>
      <c r="G45" s="1">
        <v>16.617732</v>
      </c>
      <c r="H45" s="1">
        <v>6.3937967781427005</v>
      </c>
      <c r="I45" s="1"/>
      <c r="J45" s="1"/>
      <c r="K45" s="1">
        <v>3</v>
      </c>
      <c r="L45" s="1">
        <v>26.383963600000005</v>
      </c>
      <c r="M45" s="1">
        <v>16.014835991502412</v>
      </c>
    </row>
    <row r="46" spans="1:13" ht="15.7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>
        <v>4</v>
      </c>
      <c r="L46" s="1">
        <v>15.765786200000003</v>
      </c>
      <c r="M46" s="1">
        <v>3.2848052447306006</v>
      </c>
    </row>
    <row r="47" spans="1:13" ht="15.75" x14ac:dyDescent="0.25">
      <c r="A47" s="1" t="s">
        <v>12</v>
      </c>
      <c r="B47" s="1">
        <v>0</v>
      </c>
      <c r="C47" s="1">
        <v>1</v>
      </c>
      <c r="D47" s="1">
        <v>2</v>
      </c>
      <c r="E47" s="1">
        <v>3</v>
      </c>
      <c r="F47" s="1">
        <v>4</v>
      </c>
      <c r="G47" s="1"/>
      <c r="H47" s="1"/>
      <c r="I47" s="1"/>
      <c r="J47" s="1"/>
      <c r="K47" s="1"/>
      <c r="L47" s="1">
        <v>19.428907125000002</v>
      </c>
      <c r="M47" s="1">
        <v>4.1589620314979694</v>
      </c>
    </row>
    <row r="48" spans="1:13" ht="15.75" x14ac:dyDescent="0.25">
      <c r="A48" s="1" t="s">
        <v>3</v>
      </c>
      <c r="B48" s="1">
        <v>0.99839409999999995</v>
      </c>
      <c r="C48" s="1">
        <v>0.43313407999999998</v>
      </c>
      <c r="D48" s="1">
        <v>0.88751745000000004</v>
      </c>
      <c r="E48" s="1">
        <v>0.64298683000000001</v>
      </c>
      <c r="F48" s="1">
        <v>0.70909800000000001</v>
      </c>
      <c r="G48" s="1">
        <v>0.66818409000000001</v>
      </c>
      <c r="H48" s="1">
        <v>0.18767390153569161</v>
      </c>
      <c r="I48" s="1"/>
      <c r="J48" s="1"/>
      <c r="K48" s="1"/>
      <c r="L48" s="1"/>
      <c r="M48" s="1"/>
    </row>
    <row r="49" spans="1:13" ht="15.75" x14ac:dyDescent="0.25">
      <c r="A49" s="1" t="s">
        <v>6</v>
      </c>
      <c r="B49" s="1">
        <v>1.8584278000000001</v>
      </c>
      <c r="C49" s="1">
        <v>19.41386</v>
      </c>
      <c r="D49" s="1">
        <v>25.406967000000002</v>
      </c>
      <c r="E49" s="1">
        <v>22.220009000000001</v>
      </c>
      <c r="F49" s="1">
        <v>19.231390000000001</v>
      </c>
      <c r="G49" s="1">
        <v>21.568056500000001</v>
      </c>
      <c r="H49" s="1">
        <v>2.9018872469538937</v>
      </c>
      <c r="I49" s="1"/>
      <c r="J49" s="1"/>
      <c r="K49" s="1"/>
      <c r="L49" s="1"/>
      <c r="M4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Kurmuş, Y. (Yasemin)</dc:creator>
  <cp:lastModifiedBy>Yasemin Kurmus</cp:lastModifiedBy>
  <dcterms:created xsi:type="dcterms:W3CDTF">2025-10-12T00:08:16Z</dcterms:created>
  <dcterms:modified xsi:type="dcterms:W3CDTF">2025-10-13T12:27:32Z</dcterms:modified>
</cp:coreProperties>
</file>